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burzio/Documents/EPFL/Genie mecanique/ME-473 - Dynamic finite element analysis of structures/miniProjects/"/>
    </mc:Choice>
  </mc:AlternateContent>
  <xr:revisionPtr revIDLastSave="0" documentId="13_ncr:1_{A9833D1A-1844-6344-BCF8-073403058F82}" xr6:coauthVersionLast="47" xr6:coauthVersionMax="47" xr10:uidLastSave="{00000000-0000-0000-0000-000000000000}"/>
  <bookViews>
    <workbookView xWindow="0" yWindow="780" windowWidth="34200" windowHeight="19880" xr2:uid="{571D87FF-0875-C743-8CA7-495BEF6BA785}"/>
  </bookViews>
  <sheets>
    <sheet name="Students" sheetId="2" r:id="rId1"/>
    <sheet name="project3" sheetId="6" r:id="rId2"/>
    <sheet name="project2" sheetId="3" r:id="rId3"/>
    <sheet name="project1" sheetId="1" r:id="rId4"/>
    <sheet name="Feedbacks mini project 1" sheetId="4" r:id="rId5"/>
    <sheet name="Feedbacks mini project 2" sheetId="5" r:id="rId6"/>
    <sheet name="Feedbacks mini project 3"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6" l="1"/>
  <c r="F10" i="6" s="1"/>
  <c r="E9" i="6"/>
  <c r="E10" i="6" s="1"/>
  <c r="D9" i="6"/>
  <c r="D10" i="6" s="1"/>
  <c r="C9" i="6"/>
  <c r="C10" i="6" s="1"/>
  <c r="F9" i="3"/>
  <c r="F10" i="3" s="1"/>
  <c r="E9" i="3"/>
  <c r="E10" i="3" s="1"/>
  <c r="D9" i="3"/>
  <c r="D10" i="3" s="1"/>
  <c r="C9" i="3"/>
  <c r="C10" i="3" s="1"/>
  <c r="D10" i="1"/>
  <c r="E10" i="1"/>
  <c r="F10" i="1"/>
  <c r="C10" i="1"/>
  <c r="D9" i="1"/>
  <c r="E9" i="1"/>
  <c r="F9" i="1"/>
  <c r="C9" i="1"/>
</calcChain>
</file>

<file path=xl/sharedStrings.xml><?xml version="1.0" encoding="utf-8"?>
<sst xmlns="http://schemas.openxmlformats.org/spreadsheetml/2006/main" count="192" uniqueCount="82">
  <si>
    <t>Evaluation Criteria</t>
  </si>
  <si>
    <t>Problem Definition and Objectives </t>
  </si>
  <si>
    <t>Methodology and Approach</t>
  </si>
  <si>
    <t>Coding and Simulation</t>
  </si>
  <si>
    <t>Weights</t>
  </si>
  <si>
    <t>Results and Analysis</t>
  </si>
  <si>
    <t>Report Structure and Presentation</t>
  </si>
  <si>
    <t>Innovation and Critical Thinking </t>
  </si>
  <si>
    <t>Group B</t>
  </si>
  <si>
    <t>Group C</t>
  </si>
  <si>
    <t>Group E</t>
  </si>
  <si>
    <t>Group F</t>
  </si>
  <si>
    <t>Final grade</t>
  </si>
  <si>
    <t>Canoen Louis Gilles</t>
  </si>
  <si>
    <t>Catala I Rams Arnau</t>
  </si>
  <si>
    <t>Cazzulani Federico</t>
  </si>
  <si>
    <t>Charmillot Killian</t>
  </si>
  <si>
    <t>Gerber Gaël Johann</t>
  </si>
  <si>
    <t>Grétillat Pierre René Charles</t>
  </si>
  <si>
    <t>Guignard Tristan Noé</t>
  </si>
  <si>
    <t>Hecht-Nielsen Emil Fossdahl</t>
  </si>
  <si>
    <t>Javary Raphaël Jean-Léon</t>
  </si>
  <si>
    <t>Jroundi Aya</t>
  </si>
  <si>
    <t>Knobloch Robert Jan Paul</t>
  </si>
  <si>
    <t>Lecroart Adam Neale Antonin</t>
  </si>
  <si>
    <t>Maitrot Adrien Gérard Jacky</t>
  </si>
  <si>
    <t>Mitric Marko</t>
  </si>
  <si>
    <t>Plumb Olivia Mary</t>
  </si>
  <si>
    <t>Soulier Hippolyte Benjamin Louis</t>
  </si>
  <si>
    <t>16/16</t>
  </si>
  <si>
    <t>Nom Prénom</t>
  </si>
  <si>
    <t>Sciper</t>
  </si>
  <si>
    <t>Genre</t>
  </si>
  <si>
    <t>Section</t>
  </si>
  <si>
    <t>Courriel</t>
  </si>
  <si>
    <t>Semestre de l'inscription</t>
  </si>
  <si>
    <t>Fin d'immatriculation</t>
  </si>
  <si>
    <t>Remarques sur l'inscription</t>
  </si>
  <si>
    <t>Notes</t>
  </si>
  <si>
    <t>Absence</t>
  </si>
  <si>
    <t>Commentaire</t>
  </si>
  <si>
    <t>Erreur importation note</t>
  </si>
  <si>
    <t>Masculin</t>
  </si>
  <si>
    <t>GM</t>
  </si>
  <si>
    <t>louis.canoen@epfl.ch</t>
  </si>
  <si>
    <t>Master semestre 2</t>
  </si>
  <si>
    <t>EDME</t>
  </si>
  <si>
    <t>arnau.catalairams@epfl.ch</t>
  </si>
  <si>
    <t>federico.cazzulani@epfl.ch</t>
  </si>
  <si>
    <t>killian.charmillot@epfl.ch</t>
  </si>
  <si>
    <t>gael.gerber@epfl.ch</t>
  </si>
  <si>
    <t>Master semestre 4</t>
  </si>
  <si>
    <t>pierre.gretillat@epfl.ch</t>
  </si>
  <si>
    <t>Délégué de classe</t>
  </si>
  <si>
    <t>tristan.guignard@epfl.ch</t>
  </si>
  <si>
    <t>GM_ECH</t>
  </si>
  <si>
    <t>emil.hecht-nielsen@epfl.ch</t>
  </si>
  <si>
    <t>Semestre printemps</t>
  </si>
  <si>
    <t>raphael.javary@epfl.ch</t>
  </si>
  <si>
    <t>Féminin</t>
  </si>
  <si>
    <t>aya.jroundi@epfl.ch</t>
  </si>
  <si>
    <t>robert.knobloch@epfl.ch</t>
  </si>
  <si>
    <t>adam.lecroart@epfl.ch</t>
  </si>
  <si>
    <t>adrien.maitrot@epfl.ch</t>
  </si>
  <si>
    <t>marko.mitric@epfl.ch</t>
  </si>
  <si>
    <t>olivia.plumb@epfl.ch</t>
  </si>
  <si>
    <t>hippolyte.soulier@epfl.ch</t>
  </si>
  <si>
    <t>Students</t>
  </si>
  <si>
    <t>Caz+D4zulani Federico</t>
  </si>
  <si>
    <t xml:space="preserve">Final grade (rounded) </t>
  </si>
  <si>
    <t>Group B grade: 5.5/6
Problem Definition and Objectives: 6/6
* Some confusions between the Galerkin approach and the FEM one.
* Good understanding of the problem but the assumptions are not explicited.
* No need for initial conditions as we are treating an eigenvalue problem.
Methodology and Approach: 6/6
* Excellent understanding, good thinking of deriving the transformations and derivatives of the shape functions analytically. Really clear explanations.
Coding and Simulation: 5.75/6
* Well optimised by using the analytical derivations.
* Well comented with clear variable names thank you!
* Maybe think to automate the plots using a function. Functions are the lifesavers of coders while copy paste is the enemy of clarity.
*  Side remark: you could calculate only once the expression for Ke as you demonstrated that it does not change (le is constant as well as je). Also you could think of using the Ke calculated for a certain number of elements (let's say n) for another number of elements (n*):  Ke(n*) = f(n/n*) Ke(n).
Results and Analysis 5.5/6
* For mode representation you should also use markers to see where the nodes are.
* For all the graph the legend, labels and axis are too small. They should be approximately of the same size as the rest of your text.
* The convergence claim is in line with the theoretical rate. Also good analysis.
* Lacks a bit of interpretation: Why does the mode shape is less well captured for higher frequencies?
Report Structure and Presentation 6/6
* Really clear and well structured.
Innovation and Critical Thinking 5/6
* Lacks critical thinking and innovation. The conclusion should lead to a discussion or for thoughts of improvements on the design. Ex: Should we really take a homogeneous distribution of point? Is the order of discretisation enough? etc..</t>
  </si>
  <si>
    <t>Group C grade: 5/6
Problem Definition and Objectives: 5/6
* Good understanding of the theoretical background of the problem statement.
* Lacks understanding or at least precise definition of why there is a Jacobian and what are je vs Je. Mistake in the definition of the local definition of Ke.
* You did not state your assumptions.
Methodology and Approach: 5.5/6
* Correct application of the boundary conditions and matching between local and global.
* For such a simple transformation the Jacobian and its determinant can be calculated by hand.
Coding and Simulation: 4.5/6
* The names of the variables are quite confusing ne (n_elem), npe (n_node_elem), nn (n_nodes) etc... it's longer to write but when you give the code to someone he should be able to understand it quickly.
* Some comments are wrong (sizes of the matrices).
* For saving the mode shapes you could do an array of cells conataining arrays and just loop on index i:
* for n_elem = 1:...
* for n_freq = 1:2n_elem+1/2
* mode_shapes{n_elem}(i,:) = [0;eigenvectors(:,i);0]
* The jacobian and its determinant are constant depending on the element number so no need to recalculate it. Same for Ke and Me.
* Some defined variables are never used: Ha
* The plots could be optimized using a function to not copy paste the same code.
Results and Analysis 4/6
* No labels, no grid and not an explicit title. The title should allow one to understand what does the figure represents while the legend in the figure should be used to explicit details said in the title.  However, I like the fact that you put the analytical mode shapes to see the differences.
* The convergence claim (error linear with the number of nodes) is wrong. First for a convergence plot it should be in log log and second it should have way more points than this (with only 3 points its always going to be quadratic at most). The relative error: eps = Ne^-4.
* Take care to the fact that when plotting the modes you did a linear interpolation between every points while the real answer should be a qudratic interpolation between every group of three points. So the 'jagged' representation comes from the wrong interpolation.
* Also the claim that it looks C^1 is wrong if you zoom in (with the linear representation) it is not C1 at all but just C1 on local elements.
* Explanations are not well formulated and lead to misunderstanding.
Report Structure and Presentation 6/6
* very good global structure and presentation.
Innovation and Critical Thinking 5/6
* Good innovation thinking of inhomogeneous diustribution of points.
* Unclear what you mean by singularity or locking effects.</t>
  </si>
  <si>
    <t>Group E grade: 5.5/6
Problem Definition and Objectives: 5.75/6
* Excellent understanding of the theoretical background and clear identification of the problem statement.
* More details on how to obtain the analytical frequencies might be helpful for the understanding. 
Methodology and Approach: 6/6
* Correct application of boundary conditions, derivation of the weak form, and definition of the stiffness and mass matrices. Just a note: for cubic elements, the standard node numbering convention is 1–3–4–2, not 1–2–3–4. While your choice is valid, be aware of the convention in future implementations. No penalty, just a recommendation.
Coding and Simulation: 5/6
* Automating frequency and mode shape computation via the fem(n) function is a great design choice.
* However, the command window output becomes lengthy and difficult to follow, especially when running the for loop. Suppressing or selectively displaying key variables would improve readability.
* Including the ep parameter to generalize element order is excellent and shows thoughtful extensibility.
* Variable naming could be improved. Some names are difficult to interpret, especially the indices, don’t hesitate to use longer, descriptive names for clarity. 
* Using x for the archetype variable can be confusing, as it’s often associated with physical position.
* Figures generated by fem(n) would benefit from clear titles and labels to improve interpretability, especially when comparing multiple results.
Results and Analysis 5/6
* More details on the analysis of high frequencies were expected. Such as error estimates in function of the number of elements, and visualisations of the mode shapes and comparison with the exact ones
* The convergence claim is in line with the theoretical rate.
* Be careful that while in the visualisations the functions are piecewise linear the ‘true’ mode shapes should be piecewise cubic functions. 
Report Structure and Presentation 5.75/6
* Few minor grammar and formatting tweaks could further polish the report.
* Be careful that while in future 3 the mode shape is a piecewise linear function the ‘true’ mode shape should be piecewise cubic function. 
* Figures 1 and 3 are missing axis labels and legend. 
Innovation and Critical Thinking 6/6
* The discussion of rounding error limitations and wave lengths adds valuable depth to your interpretation of convergence results.
* Good analysis of the results and suggestions for improvements using Gauss integration in the conclusion section.</t>
  </si>
  <si>
    <t>Group F grade: 5.5/6
Problem Definition and Objectives: 6/6
* Excellent understanding of the theoretical background of the problem statement. The decision to limit the analysis to the first four modes is well-justified.
Methodology and Approach: 5.75/6
* Correct application of boundary conditions, derivation of weak form and definition of the stiffness and mass matrices. Just a note: for cubic elements, the node numbering convention is usually 1–3–4–2, not 1–2–3–4. No penalty for that, just a warning.
* Mentioning the small deformations and linear assumptions is required.
Coding and Simulation: 5.5/6
* Well-structured code and clear mode shape visualizations. 
* To improve: modularize with functions like computeFrequencies(n,…) and computeModes(n,…) to avoid code repetition.
* Boundary conditions could be enforced separately from the assembly of K and M.
* Avoid using ‘e’ as a symbolic variable.
* Code to generate Figure 6 appears missing.
Results and Analysis 4.5/6
* Computation of approximate frequencies and modes are correct.
* The convergence claim (error reduction by ~100) overstates the theoretical rate (2^6= 64). Use caution interpreting log-log plots where small distances cause large differences.
* Figure 3 no not give much more insight than the figure 2 and should be eliminated. 
* Be careful that while in the visualisations the functions are piecewise linear the ‘true’ mode shapes should be piecewise cubic functions. 
Report Structure and Presentation 5.75/6
* In figure 2,3 and 6 the label on the y axis is misleading as it might be interpreted as the relative errors of mode shapes.
* Minor typos and imprecision.
* Great use of appendices and references.
Innovation and Critical Thinking 6/6
* Good critical analysis of the results and suggestions for further investigations in the conclusion section.</t>
  </si>
  <si>
    <t>Group B grade: 5.75
Problem Definition and Objectives: 6/6
* The project objectives, including constraints on displacement, natural frequency, yield stress, and material volume, are clearly articulated and effectively addressed.
* Assumptions regarding material yield strength are well justified and appropriately cited. The decision to distinguish between tensile and compressive stresses in the analysis is excellent.
Methodology and Approach: 5/6
* The decision to reduce the design space to two independent variables per structure is both practical and insightful, facilitating efficient parametric analysis. 
* The expression of the weak form contains inaccuracies.
* The finite element discretization and transformation into the global system are correctly formulated.
Coding and Simulation: 5.5/6
* The coding structure for all three case studies is generally well organized and effective.
* However, it appears that each case was developed independently, leading to some redundancy across scripts. A unified codebase or shared function library would have enhanced modularity and reduced repetition.
* Minor suggestions: file naming conventions could be improved for clarity and consistency. In the file Project2_wrapper_SS the choice of material seems superfluous. 
Results and Analysis 5.5/6
* Symmetry could have been exploited for the static analysis. 
* For the wood bridge, the maximum displacement is close to the prescribed limit, despite the first natural frequency exceeding the minimum threshold by a significant margin. A design favoring greater stiffness, albeit with a slightly lower frequency, may have been more conservative and physically robust.
* The reasoning provided for the effect of increasing the number of nodes and elements on the natural frequency is not accurate.
Report Structure and Presentation 6/6
* The report is well structured, with logically organized sections, clear explanations, and high-quality figures and tables.
* The inclusion of animated visualizations for the mode shapes of the aluminum bridge is particularly praiseworthy.
Innovation and Critical Thinking 6/6
* The discussion on the limitations of truss modeling, particularly the neglect of bending and rotational constraints at the joints, demonstrates a solid understanding of the model’s assumptions and their implications.
* The discussion comparing the behavior of steel, aluminum, and wood structures is well articulated. In particular, the observation that the cross-sectional area has no effect on the natural frequency but significantly influences the deflection demonstrates a sound understanding of structural dynamics.</t>
  </si>
  <si>
    <t>Group C grade: 5.75
Problem Definition and Objectives: 6/6
* Clear identification and understanding of the problem statement, addressing both static and dynamic performance requirements.
* The assumptions made regarding the yield strengths of the three materials are well reasoned and appropriate within the context of the study.
Methodology and Approach: 6/6
* The discretization of the strong form are clearly explained and appropriately justified.
* The application of a genetic algorithm to achieve the design objectives is an innovative and effective choice. It would have been valuable to assess whether the initial structural configurations (e.g., Warren, Pratt, modified Warren) already satisfied some of the constraints, and to consider adjusting the weights in the objective function accordingly for a more targeted optimization process.
Coding and Simulation: 6/6
* The code is well structured, readable, and effectively supports the numerical analysis.
* The file and folder organization is clear and facilitates ease of navigation and comprehension.
* To enhance interpretability, output figures could benefit from the inclusion of descriptive titles.
Results and Analysis 5.75/6
* The results are comprehensive and include all key performance metrics, such as mode shapes, frequency analysis, displacement profiles, and stress distributions.
* The computed first natural frequencies significantly exceed the minimum required values, ensuring dynamic robustness.
* The commentary on the differences in mode shapes, particularly in the structural steel case, is insightful and could be extended through time-domain visualizations. Additionally, it is worth noting that the first two natural frequencies are consistently close across all three structures—a point that merits further examination.
Report Structure and Presentation 5.5/6
* The report is generally well organized. However, Sections 4.1, 4.2, and 4.3 are somewhat repetitive and could be more effectively summarized in a comparative table to improve clarity.
* Further discussion on the parameters of the fitness function would enhance the reader’s understanding of the optimization process.
* Minor issues include the placement of Table 1, the sizing of Figure 3, and a typographical error where stress is denoted by epsilon instead of sigma.
Innovation and Critical Thinking 5.5/6
* The integration of an optimization algorithm with finite element analysis is commendable and reflects a strong level of innovation.
* The critical discussion of results and methodological limitations is relatively brief. For instance, while achieving a first natural frequency significantly higher than the minimum requirement may indicate robustness, it also raises the question of whether such over-stiffness could lead to inefficiencies or design drawbacks.
* The report would benefit from more explicit suggestions for future work or potential improvements to the modeling and analysis approach.</t>
  </si>
  <si>
    <t>Group E grade: 5.75/6
Problem Definition and Objectives: 6/6
* Excellent understanding of the theoretical background of the problem statement.
* The decision to distinguish between tensile and compressive stresses in the analysis is excellent and well explained.
Methodology and Approach: 6/6 
* Assumptions are well posed and defined.
* Good understanding and explanations of the difference between the local and global coordinates.
* The weak form and functional spaces are well defined with a small mistake.
* Boundary conditions are clearly defined.
Coding and Simulation: 6/6
* Well-structured code and clear mode shape visualizations. 
* Lots of comments that help the reader.
* Nice use of functions to reduce the number of copy paste.
* Take care that a matlab file should not contains “-” nor “ ”. Functions should appear at the end of a matlab file or in a different matlab file.
Results and Analysis 5.75/6
* Good analysis with clear mode shape representation.
* Nice simplified representation of the stress for the warren Truss bridge.
* A representation of the stress distribution for the other bridges are not present.
Report Structure and Presentation 5.25/6
* Nice presentation of the analysis procedure and overall good and clear structure.
* Assumptions should be presented before the modelling as well as the boundary conditions. I would also put the theoretical introduction of buckling before the analysis of each bridge.
* The changes that you made for the different iterations of each bridge could be presented in a few lines in the report rather than in the code.
Innovation and Critical Thinking 6/6
* Good critical analysis of the results and “optimisation” of the bridges by only selecting the critical trusses.
* The adding of a buckling condition is well thought and explained.
 </t>
  </si>
  <si>
    <t>Group F grade: 5.75/6
Problem Definition and Objectives: 6/6
* Excellent understanding of the theoretical background of the problem statement. The decision to limit the analysis to the first four modes is well-justified.
Methodology and Approach: 5/6 
* Assumptions are well posed and defined. Good understanding and explanations of the difference between the local and global coordinates.
* The weak form is not defined or discussed. Nor the boundary conditions nor the forcing are explicited. 
Coding and Simulation: 6/6
* Well-structured code and clear mode shape visualizations. 
* Nice use of functions to reduce the number of copy paste.
Results and Analysis 5.5/6
* Computation of approximate frequencies and modes seems correct. Nice physical interpretation of stress distribution depending on the geometry and elements used. 
* Nice visualisation of the stress. Note that if you have several plots try to be consistent with the coloring. For this particular case having the color of the zero always being green could be nice. 
*  A small discussion on the fact that the trusses cross when having an large amplitude of the eigenvectors could be discussed. This would result in the collapse of the bridge.
Report Structure and Presentation 5.75/6
* Great use of appendices and references.
Innovation and Critical Thinking 6/6
* Good critical analysis of the results and suggestions for further investigations in the conclusion section.
 </t>
  </si>
  <si>
    <t xml:space="preserve">Group C grade: 6/6
Problem Definition and Objectives: 6/6
- The relevance of the objectives is well stated, including the comparative aspect with analytical results and the extension to thick plate behavior. 
- The assumptions are also well explained, including the transverse inextensibility assumption, satisfying the full expectation of this criterion.
Methodology and Approach: 6/6
- The derivations of the strong and weak forms are detailed and demonstrate a solid understanding of finite element theory. Boundary conditions are carefully discussed, and the Galerkin discretization is correctly applied. 
- Both AMC and CR formulations are presented with clarity, including their degrees of freedom, polynomial basis, and conforming properties.
Coding and Simulation: 6/6
- The code is cleanly modularized into distinct logical units: mesh generation, element matrix formation, assembly, eigenvalue analysis
- The code uses well-structured and reusable helper functions (e.g. form_mesh, form_element_matrices, etc.). This enables extensibility.
- Some operations in plot_modeshape may benefit from vectorization to improve performance for large meshes.
Results and Analysis: 6/6
- Results are thoroughly analyzed and include both quantitative frequency comparisons and visual inspection of mode shapes. 
- The convergence behavior  for both AMC and CR elements  is theoretically justified with reference to finite element error estimates.
- The investigation into thick plate behavior (with comparison to Mindlin-Reissner theory) is particularly insightful and well justified, including correct identification of shear deformation limitations.
Report Structure and Presentation: 5.75/6
- The report is cleanly structured, figures and tables are high quality and well integrated. The appendix-style inclusion of key figures, e.g., shape function illustrations, and symmetric error profiles, is effective. 
- Result for changing the span to thickness ratios were expected in the result section.
Innovation and Critical Thinking: 6/6
-  The students demonstrate critical understanding of both the numerical and physical modeling, with clear insight into element conformity, convergence rate theory, and modal behavior. 
- The comparison of CR and AMC elements is nuanced and supported by data. The analysis of thick plate performance using thin plate elements shows a willingness to test theoretical limits and interpret outcomes critically. </t>
  </si>
  <si>
    <t>Group F grade: 5.75/6
Problem Definition and Objectives: 6/6
- The objectives of the project are clearly stated. 
- Key assumptions made throughout the project are appropriately summarized. However, the assumption of transverse fiber inextensibility is not explicitly mentioned and should be included for completeness.
Methodology and Approach: 5.5/6
- The formulations of the strong, weak and discrete forms are overall correct; however, the required continuity conditions for the displacement field u_3 in the strong form are not explicitly stated.
- While the derivation of the weak form and the application of boundary conditions are correctly approached, additional detail would enhance the clarity and rigor of the methodology.
- The finite element discretization and assembly of the global system are correctly executed. Nonetheless, a more explicit discussion of the degrees of freedom associated with the AMC and CR shape functions would provide a clearer and more complete representation of the model.
Coding and Simulation: 5.75/6
- The code includes animated mode shapes and 2D plots with displacement contours. Clear color scales and legends are used.
-  Symbolic integration is used for every element, which is costly for larger meshes and redundant for uniform elements.
Results and Analysis: 5/6
- The mesh refinement study for the AMC elements is well conducted. An estimation of the convergence rate would have further strengthened the analysis.
-  A more in-depth investigation of the convergence behavior of the CR elements, particularly with regard to higher-order modes, was expected.
Report Structure and Presentation: 6/6
- The report is well organized, with logically structured sections, clear and precise explanations, and high-quality figures and tables. Notably, the visualization of the first mode shapes is particularly effective and contributes to the overall clarity of the presentation.
- The comparison of modal shapes between thick and thin plate is well presented and accurately discussed.
Innovation and Critical Thinking: 5.75/6
- The limitations of the modeling approach, specifically the restriction to vertical displacements, are thoughtfully addressed.
- The report would benefit from suggestions for future work, such as potential model extensions or enhancements. Additionally, a comparative discussion of the advantages and limitations of AMC versus CR elements for modeling thick plates would further demonstrate critical engagement with the topic.</t>
  </si>
  <si>
    <t>Group E grade: 5.25/6
Problem Definition and Objectives: 6/6
* The objectives are well stated. 
* The assumptions are also well explained, including the transverse inextensibility assumption. Careful explanation on the limit of the thin-plate model. The difference between CR and AMC plates is also well explained. 
* Take care to the fact that you did not give the elements of the matrix C._x000B_
Methodology and Approach: 5.5/6
* The derivations of the strong and weak forms are detailed and demonstrate a solid understanding of finite element theory. Boundary conditions are carefully discussed, and the Galerkin discretization is correctly applied. Just a few minor mistakes in the weak form derivations. 
* Both AMC and CR formulations are presented with clarity, including their degrees of freedom and conforming properties.
Coding and Simulation : 4.5/6
* The code is readable and well explained however it seems to be missing the part regarding the CR elements and the ploting.
* You might think of implementing more modularity: functions and automation._x000B_
Results and Analysis: 5/6
* Results are thoroughly summarized in tables for the different models and eigenvalues with the relative error. 
* The convergence behavior for both AMC and CR elements  is correctly derived.
* Though the investigation into thick plate behavior is missing, the comparison to Mindlin-Reissner theory is insightful and well justified.
* A plot to justify the convergence rate could be implemented._x000B_
Report Structure and Presentation: 5.75/6
* The report is cleanly structured, figures and tables are of quality and well integrated.
* The mode shapes representations could use more contours.
Innovation and Critical Thinking: 5/6
* The comparison of CR and AMC elements is a bit rough and unsupported by data.
* The discussion section would benefit from a more in-depth critical evaluation of the results.</t>
  </si>
  <si>
    <t>Group B grade: 5.75/6
Problem Definition and Objectives: 4.5/6
* The objectives are superficially stated. 
* Assumptions made throughout the project are not discussed. The difference in DOFs or continuity between CM and AMC are not discussed. 
Methodology and Approach: 5.25/6
* The formulations of the strong, weak and discrete forms are overall correct; however, the required continuity conditions for the displacement field u_3 in the strong form are not explicitly stated as well as the boundary conditions.
* The weak form is stated but without any detail which would enhance the clarity and rigor of the methodology and explicit good understanding.
* The transformation between the weak form and the local vs archetypical matrices is a bit messy even though the end result is correct.
* The finite element discretization and assembly of the global system are correctly executed. An explicit discussion of the degrees of freedom associated with the AMC and CR shape functions provide a clear and complete representation of the model.
Coding and Simulation: 6/6
* The code includes animated mode shapes and 2D plots with displacement contours. Clear color scales and legends are used. It includes also 2D cuts figures with clear representation of each elements.
* A relative error of the mode shapes is also lead for different refinement factor though the 100% relative error in x=0 is weird. 
* Good use of function and switch to make the code clearer. Also good use of the symmetry plane to greatly reduce the computation time.
Results and Analysis: 5.25/6
* The mesh refinement study for the AMC and CR elements are well conducted with an estimation of the convergence rate wich is supported by theoretical results.
* An investigation of the higher-order modes was expected.
* Good interpretation of the breaking of the C1 continuity of the AMC elements leading to lower eigenvalues.
* The discrepancy between Reisser-Mindlin and Kirchhoff-Love models is discussed and analyzed for the 1st mode. However, an investigation of the AMC and CR elements in function of the l/h ratio was expected, lead in the code and presented in the report (briefly in the table) but not discussed. 
Report Structure and Presentation: 5.5/6
* The report is overall well organized, with logically structured sections, and high-quality figures. Notably, the visualization of the mode shapes are particularly effective and contributes to the overall clarity of the presentation.
* To help clarifying the results, the table 1 could be adapted to compare ACM and CR elements.
* However the assumptions are not discussed, the differences between the AMC and CR elements is only discussed in the result section.
Innovation and Critical Thinking: 5.75/6
* The limitations of the model, specifically the restriction to vertical displacements, are thoughtfully addressed.
* The report would benefit from suggestions for future work, such as potential model extensions or enhancements. Additionally, a comparative discussion of the advantages and limitations of AMC versus CR elements for modeling thick plates would further demonstrate critical engagement with the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</si>
</sst>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b/>
      <sz val="18"/>
      <color rgb="FF000000"/>
      <name val="Calibri"/>
      <family val="2"/>
    </font>
    <font>
      <b/>
      <sz val="18"/>
      <color theme="1"/>
      <name val="Calibri"/>
      <family val="2"/>
    </font>
    <font>
      <b/>
      <sz val="18"/>
      <color theme="1"/>
      <name val="Aptos Narrow"/>
      <family val="2"/>
      <scheme val="minor"/>
    </font>
    <font>
      <sz val="18"/>
      <color rgb="FF000000"/>
      <name val="Calibri"/>
      <family val="2"/>
    </font>
    <font>
      <sz val="18"/>
      <color theme="1"/>
      <name val="Calibri"/>
      <family val="2"/>
    </font>
    <font>
      <sz val="18"/>
      <color theme="1"/>
      <name val="Aptos Narrow"/>
      <family val="2"/>
      <scheme val="minor"/>
    </font>
    <font>
      <u/>
      <sz val="12"/>
      <color theme="10"/>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9">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2" fillId="2" borderId="1" xfId="0" applyFont="1" applyFill="1" applyBorder="1"/>
    <xf numFmtId="0" fontId="3" fillId="2" borderId="3" xfId="0" applyFont="1" applyFill="1" applyBorder="1"/>
    <xf numFmtId="0" fontId="3" fillId="2" borderId="1" xfId="0" applyFont="1" applyFill="1" applyBorder="1"/>
    <xf numFmtId="0" fontId="4" fillId="2" borderId="1" xfId="0" applyFont="1" applyFill="1" applyBorder="1"/>
    <xf numFmtId="0" fontId="5" fillId="0" borderId="0" xfId="0" applyFont="1"/>
    <xf numFmtId="0" fontId="6" fillId="0" borderId="0" xfId="0" applyFont="1"/>
    <xf numFmtId="0" fontId="7" fillId="0" borderId="0" xfId="0" applyFont="1"/>
    <xf numFmtId="0" fontId="7" fillId="0" borderId="2" xfId="0" applyFont="1" applyBorder="1"/>
    <xf numFmtId="0" fontId="7" fillId="2" borderId="6" xfId="0" applyFont="1" applyFill="1" applyBorder="1"/>
    <xf numFmtId="0" fontId="5" fillId="2" borderId="4" xfId="0" applyFont="1" applyFill="1" applyBorder="1"/>
    <xf numFmtId="0" fontId="2" fillId="2" borderId="3" xfId="0" applyFont="1" applyFill="1" applyBorder="1"/>
    <xf numFmtId="0" fontId="6" fillId="0" borderId="2" xfId="0" applyFont="1" applyBorder="1" applyAlignment="1">
      <alignment horizontal="center"/>
    </xf>
    <xf numFmtId="0" fontId="6" fillId="0" borderId="0" xfId="0" applyFont="1" applyAlignment="1">
      <alignment horizontal="center"/>
    </xf>
    <xf numFmtId="0" fontId="7" fillId="2" borderId="5" xfId="0" applyFont="1" applyFill="1" applyBorder="1" applyAlignment="1">
      <alignment horizontal="center"/>
    </xf>
    <xf numFmtId="0" fontId="7" fillId="2" borderId="6" xfId="0" applyFont="1" applyFill="1" applyBorder="1" applyAlignment="1">
      <alignment horizontal="center"/>
    </xf>
    <xf numFmtId="0" fontId="0" fillId="0" borderId="7" xfId="0" applyBorder="1" applyAlignment="1">
      <alignment wrapText="1"/>
    </xf>
    <xf numFmtId="0" fontId="1" fillId="0" borderId="7" xfId="0" applyFont="1" applyBorder="1" applyAlignment="1">
      <alignment horizontal="center" vertical="center" wrapText="1"/>
    </xf>
    <xf numFmtId="0" fontId="0" fillId="2" borderId="7" xfId="0" applyFill="1" applyBorder="1" applyAlignment="1">
      <alignment wrapText="1"/>
    </xf>
    <xf numFmtId="0" fontId="0" fillId="3" borderId="7" xfId="0" applyFill="1" applyBorder="1" applyAlignment="1">
      <alignment wrapText="1"/>
    </xf>
    <xf numFmtId="0" fontId="0" fillId="4" borderId="7" xfId="0" applyFill="1" applyBorder="1" applyAlignment="1">
      <alignment wrapText="1"/>
    </xf>
    <xf numFmtId="0" fontId="0" fillId="5" borderId="7" xfId="0" applyFill="1" applyBorder="1" applyAlignment="1">
      <alignment wrapText="1"/>
    </xf>
    <xf numFmtId="0" fontId="0" fillId="2" borderId="8" xfId="0" applyFill="1" applyBorder="1" applyAlignment="1">
      <alignment wrapText="1"/>
    </xf>
    <xf numFmtId="0" fontId="0" fillId="3" borderId="8" xfId="0" applyFill="1" applyBorder="1" applyAlignment="1">
      <alignment wrapText="1"/>
    </xf>
    <xf numFmtId="0" fontId="0" fillId="4" borderId="8" xfId="0" applyFill="1" applyBorder="1" applyAlignment="1">
      <alignment wrapText="1"/>
    </xf>
    <xf numFmtId="0" fontId="0" fillId="5" borderId="8" xfId="0" applyFill="1" applyBorder="1" applyAlignment="1">
      <alignment wrapText="1"/>
    </xf>
    <xf numFmtId="0" fontId="8" fillId="0" borderId="7" xfId="1" applyBorder="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dam.lecroart@epfl.ch" TargetMode="External"/><Relationship Id="rId2" Type="http://schemas.openxmlformats.org/officeDocument/2006/relationships/hyperlink" Target="mailto:gael.gerber@epfl.ch" TargetMode="External"/><Relationship Id="rId1" Type="http://schemas.openxmlformats.org/officeDocument/2006/relationships/hyperlink" Target="mailto:hippolyte.soulier@epfl.ch" TargetMode="External"/><Relationship Id="rId4" Type="http://schemas.openxmlformats.org/officeDocument/2006/relationships/hyperlink" Target="mailto:adrien.maitrot@epfl.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9801A-BCBE-CB4A-BDE9-1ADA46647807}">
  <dimension ref="A1:M17"/>
  <sheetViews>
    <sheetView tabSelected="1" zoomScale="150" zoomScaleNormal="253" workbookViewId="0">
      <selection activeCell="F17" sqref="F17"/>
    </sheetView>
  </sheetViews>
  <sheetFormatPr baseColWidth="10" defaultRowHeight="16" x14ac:dyDescent="0.2"/>
  <cols>
    <col min="1" max="1" width="5.83203125" bestFit="1" customWidth="1"/>
    <col min="2" max="2" width="28" bestFit="1" customWidth="1"/>
    <col min="3" max="3" width="7.1640625" bestFit="1" customWidth="1"/>
    <col min="4" max="5" width="8.5" bestFit="1" customWidth="1"/>
    <col min="6" max="6" width="23.83203125" bestFit="1" customWidth="1"/>
    <col min="7" max="7" width="21.83203125" bestFit="1" customWidth="1"/>
    <col min="8" max="8" width="18.83203125" bestFit="1" customWidth="1"/>
    <col min="9" max="9" width="24" bestFit="1" customWidth="1"/>
    <col min="10" max="10" width="6.1640625" bestFit="1" customWidth="1"/>
    <col min="11" max="11" width="8.33203125" bestFit="1" customWidth="1"/>
    <col min="12" max="12" width="12.6640625" bestFit="1" customWidth="1"/>
    <col min="13" max="13" width="20.33203125" bestFit="1" customWidth="1"/>
  </cols>
  <sheetData>
    <row r="1" spans="1:13" ht="17" x14ac:dyDescent="0.2">
      <c r="A1" s="17" t="s">
        <v>29</v>
      </c>
      <c r="B1" s="17" t="s">
        <v>30</v>
      </c>
      <c r="C1" s="17" t="s">
        <v>31</v>
      </c>
      <c r="D1" s="17" t="s">
        <v>32</v>
      </c>
      <c r="E1" s="17" t="s">
        <v>33</v>
      </c>
      <c r="F1" s="17" t="s">
        <v>34</v>
      </c>
      <c r="G1" s="17" t="s">
        <v>35</v>
      </c>
      <c r="H1" s="17" t="s">
        <v>36</v>
      </c>
      <c r="I1" s="17" t="s">
        <v>37</v>
      </c>
      <c r="J1" s="17" t="s">
        <v>38</v>
      </c>
      <c r="K1" s="17" t="s">
        <v>39</v>
      </c>
      <c r="L1" s="17" t="s">
        <v>40</v>
      </c>
      <c r="M1" s="17" t="s">
        <v>41</v>
      </c>
    </row>
    <row r="2" spans="1:13" ht="17" x14ac:dyDescent="0.2">
      <c r="A2" s="16">
        <v>1</v>
      </c>
      <c r="B2" s="18" t="s">
        <v>13</v>
      </c>
      <c r="C2" s="16">
        <v>312526</v>
      </c>
      <c r="D2" s="16" t="s">
        <v>42</v>
      </c>
      <c r="E2" s="16" t="s">
        <v>43</v>
      </c>
      <c r="F2" s="16" t="s">
        <v>44</v>
      </c>
      <c r="G2" s="16" t="s">
        <v>45</v>
      </c>
      <c r="H2" s="16"/>
      <c r="I2" s="16"/>
      <c r="J2" s="16"/>
      <c r="K2" s="16"/>
      <c r="L2" s="16"/>
      <c r="M2" s="16"/>
    </row>
    <row r="3" spans="1:13" ht="17" x14ac:dyDescent="0.2">
      <c r="A3" s="16">
        <v>2</v>
      </c>
      <c r="B3" s="16" t="s">
        <v>14</v>
      </c>
      <c r="C3" s="16">
        <v>342369</v>
      </c>
      <c r="D3" s="16" t="s">
        <v>42</v>
      </c>
      <c r="E3" s="16" t="s">
        <v>46</v>
      </c>
      <c r="F3" s="16" t="s">
        <v>47</v>
      </c>
      <c r="G3" s="16"/>
      <c r="H3" s="16"/>
      <c r="I3" s="16"/>
      <c r="J3" s="16"/>
      <c r="K3" s="16"/>
      <c r="L3" s="16"/>
      <c r="M3" s="16"/>
    </row>
    <row r="4" spans="1:13" ht="17" x14ac:dyDescent="0.2">
      <c r="A4" s="16">
        <v>3</v>
      </c>
      <c r="B4" s="19" t="s">
        <v>15</v>
      </c>
      <c r="C4" s="16">
        <v>386924</v>
      </c>
      <c r="D4" s="16" t="s">
        <v>42</v>
      </c>
      <c r="E4" s="16" t="s">
        <v>43</v>
      </c>
      <c r="F4" s="16" t="s">
        <v>48</v>
      </c>
      <c r="G4" s="16" t="s">
        <v>45</v>
      </c>
      <c r="H4" s="16"/>
      <c r="I4" s="16"/>
      <c r="J4" s="16"/>
      <c r="K4" s="16"/>
      <c r="L4" s="16"/>
      <c r="M4" s="16"/>
    </row>
    <row r="5" spans="1:13" ht="17" x14ac:dyDescent="0.2">
      <c r="A5" s="16">
        <v>4</v>
      </c>
      <c r="B5" s="19" t="s">
        <v>16</v>
      </c>
      <c r="C5" s="16">
        <v>339817</v>
      </c>
      <c r="D5" s="16" t="s">
        <v>42</v>
      </c>
      <c r="E5" s="16" t="s">
        <v>43</v>
      </c>
      <c r="F5" s="16" t="s">
        <v>49</v>
      </c>
      <c r="G5" s="16" t="s">
        <v>45</v>
      </c>
      <c r="H5" s="16"/>
      <c r="I5" s="16"/>
      <c r="J5" s="16"/>
      <c r="K5" s="16"/>
      <c r="L5" s="16"/>
      <c r="M5" s="16"/>
    </row>
    <row r="6" spans="1:13" ht="17" x14ac:dyDescent="0.2">
      <c r="A6" s="16">
        <v>5</v>
      </c>
      <c r="B6" s="21" t="s">
        <v>17</v>
      </c>
      <c r="C6" s="16">
        <v>301666</v>
      </c>
      <c r="D6" s="16" t="s">
        <v>42</v>
      </c>
      <c r="E6" s="16" t="s">
        <v>43</v>
      </c>
      <c r="F6" s="26" t="s">
        <v>50</v>
      </c>
      <c r="G6" s="16" t="s">
        <v>51</v>
      </c>
      <c r="H6" s="16"/>
      <c r="I6" s="16"/>
      <c r="J6" s="16"/>
      <c r="K6" s="16"/>
      <c r="L6" s="16"/>
      <c r="M6" s="16"/>
    </row>
    <row r="7" spans="1:13" ht="17" x14ac:dyDescent="0.2">
      <c r="A7" s="16">
        <v>6</v>
      </c>
      <c r="B7" s="18" t="s">
        <v>18</v>
      </c>
      <c r="C7" s="16">
        <v>313310</v>
      </c>
      <c r="D7" s="16" t="s">
        <v>42</v>
      </c>
      <c r="E7" s="16" t="s">
        <v>43</v>
      </c>
      <c r="F7" s="16" t="s">
        <v>52</v>
      </c>
      <c r="G7" s="16" t="s">
        <v>45</v>
      </c>
      <c r="H7" s="16"/>
      <c r="I7" s="16" t="s">
        <v>53</v>
      </c>
      <c r="J7" s="16"/>
      <c r="K7" s="16"/>
      <c r="L7" s="16"/>
      <c r="M7" s="16"/>
    </row>
    <row r="8" spans="1:13" ht="17" x14ac:dyDescent="0.2">
      <c r="A8" s="16">
        <v>7</v>
      </c>
      <c r="B8" s="16" t="s">
        <v>19</v>
      </c>
      <c r="C8" s="16">
        <v>302010</v>
      </c>
      <c r="D8" s="16" t="s">
        <v>42</v>
      </c>
      <c r="E8" s="16" t="s">
        <v>43</v>
      </c>
      <c r="F8" s="16" t="s">
        <v>54</v>
      </c>
      <c r="G8" s="16" t="s">
        <v>51</v>
      </c>
      <c r="H8" s="16"/>
      <c r="I8" s="16"/>
      <c r="J8" s="16"/>
      <c r="K8" s="16"/>
      <c r="L8" s="16"/>
      <c r="M8" s="16"/>
    </row>
    <row r="9" spans="1:13" ht="17" x14ac:dyDescent="0.2">
      <c r="A9" s="16">
        <v>8</v>
      </c>
      <c r="B9" s="19" t="s">
        <v>20</v>
      </c>
      <c r="C9" s="16">
        <v>403992</v>
      </c>
      <c r="D9" s="16" t="s">
        <v>42</v>
      </c>
      <c r="E9" s="16" t="s">
        <v>55</v>
      </c>
      <c r="F9" s="16" t="s">
        <v>56</v>
      </c>
      <c r="G9" s="16" t="s">
        <v>57</v>
      </c>
      <c r="H9" s="16"/>
      <c r="I9" s="16"/>
      <c r="J9" s="16"/>
      <c r="K9" s="16"/>
      <c r="L9" s="16"/>
      <c r="M9" s="16"/>
    </row>
    <row r="10" spans="1:13" ht="17" x14ac:dyDescent="0.2">
      <c r="A10" s="16">
        <v>9</v>
      </c>
      <c r="B10" s="20" t="s">
        <v>21</v>
      </c>
      <c r="C10" s="16">
        <v>342263</v>
      </c>
      <c r="D10" s="16" t="s">
        <v>42</v>
      </c>
      <c r="E10" s="16" t="s">
        <v>43</v>
      </c>
      <c r="F10" s="16" t="s">
        <v>58</v>
      </c>
      <c r="G10" s="16" t="s">
        <v>45</v>
      </c>
      <c r="H10" s="16"/>
      <c r="I10" s="16"/>
      <c r="J10" s="16"/>
      <c r="K10" s="16"/>
      <c r="L10" s="16"/>
      <c r="M10" s="16"/>
    </row>
    <row r="11" spans="1:13" ht="17" x14ac:dyDescent="0.2">
      <c r="A11" s="16">
        <v>10</v>
      </c>
      <c r="B11" s="20" t="s">
        <v>22</v>
      </c>
      <c r="C11" s="16">
        <v>341943</v>
      </c>
      <c r="D11" s="16" t="s">
        <v>59</v>
      </c>
      <c r="E11" s="16" t="s">
        <v>43</v>
      </c>
      <c r="F11" s="16" t="s">
        <v>60</v>
      </c>
      <c r="G11" s="16" t="s">
        <v>45</v>
      </c>
      <c r="H11" s="16"/>
      <c r="I11" s="16"/>
      <c r="J11" s="16"/>
      <c r="K11" s="16"/>
      <c r="L11" s="16"/>
      <c r="M11" s="16"/>
    </row>
    <row r="12" spans="1:13" ht="17" x14ac:dyDescent="0.2">
      <c r="A12" s="16">
        <v>11</v>
      </c>
      <c r="B12" s="19" t="s">
        <v>23</v>
      </c>
      <c r="C12" s="16">
        <v>404031</v>
      </c>
      <c r="D12" s="16" t="s">
        <v>42</v>
      </c>
      <c r="E12" s="16" t="s">
        <v>55</v>
      </c>
      <c r="F12" s="16" t="s">
        <v>61</v>
      </c>
      <c r="G12" s="16" t="s">
        <v>57</v>
      </c>
      <c r="H12" s="16"/>
      <c r="I12" s="16"/>
      <c r="J12" s="16"/>
      <c r="K12" s="16"/>
      <c r="L12" s="16"/>
      <c r="M12" s="16"/>
    </row>
    <row r="13" spans="1:13" ht="17" x14ac:dyDescent="0.2">
      <c r="A13" s="16">
        <v>12</v>
      </c>
      <c r="B13" s="19" t="s">
        <v>24</v>
      </c>
      <c r="C13" s="16">
        <v>345348</v>
      </c>
      <c r="D13" s="16" t="s">
        <v>42</v>
      </c>
      <c r="E13" s="16" t="s">
        <v>43</v>
      </c>
      <c r="F13" s="26" t="s">
        <v>62</v>
      </c>
      <c r="G13" s="16" t="s">
        <v>45</v>
      </c>
      <c r="H13" s="16"/>
      <c r="I13" s="16"/>
      <c r="J13" s="16"/>
      <c r="K13" s="16"/>
      <c r="L13" s="16"/>
      <c r="M13" s="16"/>
    </row>
    <row r="14" spans="1:13" ht="17" x14ac:dyDescent="0.2">
      <c r="A14" s="16">
        <v>13</v>
      </c>
      <c r="B14" s="21" t="s">
        <v>25</v>
      </c>
      <c r="C14" s="16">
        <v>299891</v>
      </c>
      <c r="D14" s="16" t="s">
        <v>42</v>
      </c>
      <c r="E14" s="16" t="s">
        <v>43</v>
      </c>
      <c r="F14" s="26" t="s">
        <v>63</v>
      </c>
      <c r="G14" s="16" t="s">
        <v>51</v>
      </c>
      <c r="H14" s="16"/>
      <c r="I14" s="16"/>
      <c r="J14" s="16"/>
      <c r="K14" s="16"/>
      <c r="L14" s="16"/>
      <c r="M14" s="16"/>
    </row>
    <row r="15" spans="1:13" ht="17" x14ac:dyDescent="0.2">
      <c r="A15" s="16">
        <v>14</v>
      </c>
      <c r="B15" s="21" t="s">
        <v>26</v>
      </c>
      <c r="C15" s="16">
        <v>315718</v>
      </c>
      <c r="D15" s="16" t="s">
        <v>42</v>
      </c>
      <c r="E15" s="16" t="s">
        <v>43</v>
      </c>
      <c r="F15" s="16" t="s">
        <v>64</v>
      </c>
      <c r="G15" s="16" t="s">
        <v>51</v>
      </c>
      <c r="H15" s="16"/>
      <c r="I15" s="16"/>
      <c r="J15" s="16"/>
      <c r="K15" s="16"/>
      <c r="L15" s="16"/>
      <c r="M15" s="16"/>
    </row>
    <row r="16" spans="1:13" ht="17" x14ac:dyDescent="0.2">
      <c r="A16" s="16">
        <v>15</v>
      </c>
      <c r="B16" s="18" t="s">
        <v>27</v>
      </c>
      <c r="C16" s="16">
        <v>300139</v>
      </c>
      <c r="D16" s="16" t="s">
        <v>59</v>
      </c>
      <c r="E16" s="16" t="s">
        <v>43</v>
      </c>
      <c r="F16" s="16" t="s">
        <v>65</v>
      </c>
      <c r="G16" s="16" t="s">
        <v>45</v>
      </c>
      <c r="H16" s="16"/>
      <c r="I16" s="16"/>
      <c r="J16" s="16"/>
      <c r="K16" s="16"/>
      <c r="L16" s="16"/>
      <c r="M16" s="16"/>
    </row>
    <row r="17" spans="1:13" ht="17" x14ac:dyDescent="0.2">
      <c r="A17" s="16">
        <v>16</v>
      </c>
      <c r="B17" s="21" t="s">
        <v>28</v>
      </c>
      <c r="C17" s="16">
        <v>346179</v>
      </c>
      <c r="D17" s="16" t="s">
        <v>42</v>
      </c>
      <c r="E17" s="16" t="s">
        <v>43</v>
      </c>
      <c r="F17" s="26" t="s">
        <v>66</v>
      </c>
      <c r="G17" s="16" t="s">
        <v>45</v>
      </c>
      <c r="H17" s="16"/>
      <c r="I17" s="16"/>
      <c r="J17" s="16"/>
      <c r="K17" s="16"/>
      <c r="L17" s="16"/>
      <c r="M17" s="16"/>
    </row>
  </sheetData>
  <hyperlinks>
    <hyperlink ref="F17" r:id="rId1" xr:uid="{7BEB72B6-90D7-3F44-B85A-0B1DD930AA42}"/>
    <hyperlink ref="F6" r:id="rId2" xr:uid="{9C120B26-E203-7748-9F35-D477A6E5C8FC}"/>
    <hyperlink ref="F13" r:id="rId3" xr:uid="{EB43A2FA-032F-2B4F-829B-4C215D5715AF}"/>
    <hyperlink ref="F14" r:id="rId4" xr:uid="{DC36C743-D41E-7146-A5F3-33923DE554E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865AE-9582-BF4F-9763-199F7D73A2D0}">
  <dimension ref="A1:F22"/>
  <sheetViews>
    <sheetView workbookViewId="0">
      <selection activeCell="C7" sqref="C7"/>
    </sheetView>
  </sheetViews>
  <sheetFormatPr baseColWidth="10" defaultColWidth="10.83203125" defaultRowHeight="24" x14ac:dyDescent="0.3"/>
  <cols>
    <col min="1" max="1" width="44.33203125" style="7" customWidth="1"/>
    <col min="2" max="2" width="13.6640625" style="8" customWidth="1"/>
    <col min="3" max="5" width="13.33203125" style="7" customWidth="1"/>
    <col min="6" max="6" width="13.33203125" style="8" customWidth="1"/>
    <col min="7" max="16384" width="10.83203125" style="7"/>
  </cols>
  <sheetData>
    <row r="1" spans="1:6" s="4" customFormat="1" x14ac:dyDescent="0.3">
      <c r="A1" s="1" t="s">
        <v>0</v>
      </c>
      <c r="B1" s="2" t="s">
        <v>4</v>
      </c>
      <c r="C1" s="3" t="s">
        <v>8</v>
      </c>
      <c r="D1" s="3" t="s">
        <v>9</v>
      </c>
      <c r="E1" s="1" t="s">
        <v>10</v>
      </c>
      <c r="F1" s="11" t="s">
        <v>11</v>
      </c>
    </row>
    <row r="2" spans="1:6" x14ac:dyDescent="0.3">
      <c r="A2" s="5" t="s">
        <v>1</v>
      </c>
      <c r="B2" s="12">
        <v>0.15</v>
      </c>
      <c r="C2" s="13">
        <v>4.5</v>
      </c>
      <c r="D2" s="13">
        <v>6</v>
      </c>
      <c r="E2" s="13">
        <v>6</v>
      </c>
      <c r="F2" s="12">
        <v>6</v>
      </c>
    </row>
    <row r="3" spans="1:6" x14ac:dyDescent="0.3">
      <c r="A3" s="5" t="s">
        <v>2</v>
      </c>
      <c r="B3" s="12">
        <v>0.15</v>
      </c>
      <c r="C3" s="13">
        <v>5.25</v>
      </c>
      <c r="D3" s="13">
        <v>6</v>
      </c>
      <c r="E3" s="13">
        <v>5.5</v>
      </c>
      <c r="F3" s="12">
        <v>5.5</v>
      </c>
    </row>
    <row r="4" spans="1:6" x14ac:dyDescent="0.3">
      <c r="A4" s="5" t="s">
        <v>3</v>
      </c>
      <c r="B4" s="12">
        <v>0.2</v>
      </c>
      <c r="C4" s="12">
        <v>6</v>
      </c>
      <c r="D4" s="13">
        <v>6</v>
      </c>
      <c r="E4" s="13">
        <v>4.5</v>
      </c>
      <c r="F4" s="12">
        <v>5.75</v>
      </c>
    </row>
    <row r="5" spans="1:6" x14ac:dyDescent="0.3">
      <c r="A5" s="5" t="s">
        <v>5</v>
      </c>
      <c r="B5" s="12">
        <v>0.2</v>
      </c>
      <c r="C5" s="13">
        <v>5.25</v>
      </c>
      <c r="D5" s="13">
        <v>5.75</v>
      </c>
      <c r="E5" s="13">
        <v>5</v>
      </c>
      <c r="F5" s="12">
        <v>5</v>
      </c>
    </row>
    <row r="6" spans="1:6" x14ac:dyDescent="0.3">
      <c r="A6" s="5" t="s">
        <v>6</v>
      </c>
      <c r="B6" s="12">
        <v>0.2</v>
      </c>
      <c r="C6" s="13">
        <v>5.5</v>
      </c>
      <c r="D6" s="13">
        <v>6</v>
      </c>
      <c r="E6" s="12">
        <v>5.75</v>
      </c>
      <c r="F6" s="12">
        <v>6</v>
      </c>
    </row>
    <row r="7" spans="1:6" x14ac:dyDescent="0.3">
      <c r="A7" s="5" t="s">
        <v>7</v>
      </c>
      <c r="B7" s="12">
        <v>0.1</v>
      </c>
      <c r="C7" s="13">
        <v>5.75</v>
      </c>
      <c r="D7" s="13">
        <v>6</v>
      </c>
      <c r="E7" s="13">
        <v>5</v>
      </c>
      <c r="F7" s="12">
        <v>5.75</v>
      </c>
    </row>
    <row r="8" spans="1:6" ht="25" thickBot="1" x14ac:dyDescent="0.35">
      <c r="A8" s="6"/>
      <c r="B8" s="12"/>
      <c r="C8" s="13"/>
      <c r="D8" s="13"/>
      <c r="E8" s="13"/>
      <c r="F8" s="12"/>
    </row>
    <row r="9" spans="1:6" s="9" customFormat="1" ht="25" thickBot="1" x14ac:dyDescent="0.35">
      <c r="A9" s="10" t="s">
        <v>12</v>
      </c>
      <c r="B9" s="14"/>
      <c r="C9" s="15">
        <f>$B$2*C2+$B$3*C3+$B$4*C4+$B$5*C5+$B$6*C6+$B$7*C7</f>
        <v>5.3875000000000002</v>
      </c>
      <c r="D9" s="15">
        <f t="shared" ref="D9:F9" si="0">$B$2*D2+$B$3*D3+$B$4*D4+$B$5*D5+$B$6*D6+$B$7*D7</f>
        <v>5.9500000000000011</v>
      </c>
      <c r="E9" s="15">
        <f t="shared" si="0"/>
        <v>5.2750000000000004</v>
      </c>
      <c r="F9" s="14">
        <f t="shared" si="0"/>
        <v>5.65</v>
      </c>
    </row>
    <row r="10" spans="1:6" s="9" customFormat="1" ht="25" thickBot="1" x14ac:dyDescent="0.35">
      <c r="A10" s="10" t="s">
        <v>69</v>
      </c>
      <c r="B10" s="14"/>
      <c r="C10" s="15">
        <f>MROUND(C9,0.25)</f>
        <v>5.5</v>
      </c>
      <c r="D10" s="15">
        <f t="shared" ref="D10:F10" si="1">MROUND(D9,0.25)</f>
        <v>6</v>
      </c>
      <c r="E10" s="15">
        <f t="shared" si="1"/>
        <v>5.25</v>
      </c>
      <c r="F10" s="15">
        <f t="shared" si="1"/>
        <v>5.75</v>
      </c>
    </row>
    <row r="11" spans="1:6" ht="36" x14ac:dyDescent="0.3">
      <c r="A11" s="7" t="s">
        <v>67</v>
      </c>
      <c r="C11" s="22" t="s">
        <v>13</v>
      </c>
      <c r="D11" s="23" t="s">
        <v>15</v>
      </c>
      <c r="E11" s="24" t="s">
        <v>22</v>
      </c>
      <c r="F11" s="25" t="s">
        <v>25</v>
      </c>
    </row>
    <row r="12" spans="1:6" ht="36" x14ac:dyDescent="0.3">
      <c r="C12" s="18" t="s">
        <v>27</v>
      </c>
      <c r="D12" s="19" t="s">
        <v>16</v>
      </c>
      <c r="E12" s="20" t="s">
        <v>21</v>
      </c>
      <c r="F12" s="21" t="s">
        <v>17</v>
      </c>
    </row>
    <row r="13" spans="1:6" ht="36" x14ac:dyDescent="0.3">
      <c r="C13" s="18" t="s">
        <v>18</v>
      </c>
      <c r="D13" s="19" t="s">
        <v>20</v>
      </c>
      <c r="F13" s="21" t="s">
        <v>26</v>
      </c>
    </row>
    <row r="14" spans="1:6" ht="53" x14ac:dyDescent="0.3">
      <c r="D14" s="19" t="s">
        <v>23</v>
      </c>
      <c r="F14" s="21" t="s">
        <v>28</v>
      </c>
    </row>
    <row r="15" spans="1:6" ht="36" x14ac:dyDescent="0.3">
      <c r="D15" s="19" t="s">
        <v>24</v>
      </c>
    </row>
    <row r="17" spans="1:1" x14ac:dyDescent="0.3">
      <c r="A17" s="5"/>
    </row>
    <row r="18" spans="1:1" x14ac:dyDescent="0.3">
      <c r="A18" s="5"/>
    </row>
    <row r="19" spans="1:1" x14ac:dyDescent="0.3">
      <c r="A19" s="5"/>
    </row>
    <row r="20" spans="1:1" x14ac:dyDescent="0.3">
      <c r="A20" s="5"/>
    </row>
    <row r="21" spans="1:1" x14ac:dyDescent="0.3">
      <c r="A21" s="5"/>
    </row>
    <row r="22" spans="1:1" x14ac:dyDescent="0.3">
      <c r="A22"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4BE3-EB13-6542-A4FE-A6904517CF41}">
  <dimension ref="A1:F22"/>
  <sheetViews>
    <sheetView workbookViewId="0">
      <selection activeCell="D12" sqref="D12"/>
    </sheetView>
  </sheetViews>
  <sheetFormatPr baseColWidth="10" defaultColWidth="10.83203125" defaultRowHeight="24" x14ac:dyDescent="0.3"/>
  <cols>
    <col min="1" max="1" width="44.33203125" style="7" customWidth="1"/>
    <col min="2" max="2" width="13.6640625" style="8" customWidth="1"/>
    <col min="3" max="5" width="13.33203125" style="7" customWidth="1"/>
    <col min="6" max="6" width="13.33203125" style="8" customWidth="1"/>
    <col min="7" max="16384" width="10.83203125" style="7"/>
  </cols>
  <sheetData>
    <row r="1" spans="1:6" s="4" customFormat="1" x14ac:dyDescent="0.3">
      <c r="A1" s="1" t="s">
        <v>0</v>
      </c>
      <c r="B1" s="2" t="s">
        <v>4</v>
      </c>
      <c r="C1" s="3" t="s">
        <v>8</v>
      </c>
      <c r="D1" s="3" t="s">
        <v>9</v>
      </c>
      <c r="E1" s="1" t="s">
        <v>10</v>
      </c>
      <c r="F1" s="11" t="s">
        <v>11</v>
      </c>
    </row>
    <row r="2" spans="1:6" x14ac:dyDescent="0.3">
      <c r="A2" s="5" t="s">
        <v>1</v>
      </c>
      <c r="B2" s="12">
        <v>0.15</v>
      </c>
      <c r="C2" s="13">
        <v>6</v>
      </c>
      <c r="D2" s="13">
        <v>6</v>
      </c>
      <c r="E2" s="13">
        <v>6</v>
      </c>
      <c r="F2" s="12">
        <v>6</v>
      </c>
    </row>
    <row r="3" spans="1:6" x14ac:dyDescent="0.3">
      <c r="A3" s="5" t="s">
        <v>2</v>
      </c>
      <c r="B3" s="12">
        <v>0.15</v>
      </c>
      <c r="C3" s="13">
        <v>5</v>
      </c>
      <c r="D3" s="13">
        <v>6</v>
      </c>
      <c r="E3" s="13">
        <v>6</v>
      </c>
      <c r="F3" s="12">
        <v>5</v>
      </c>
    </row>
    <row r="4" spans="1:6" x14ac:dyDescent="0.3">
      <c r="A4" s="5" t="s">
        <v>3</v>
      </c>
      <c r="B4" s="12">
        <v>0.2</v>
      </c>
      <c r="C4" s="12">
        <v>5.5</v>
      </c>
      <c r="D4" s="13">
        <v>6</v>
      </c>
      <c r="E4" s="13">
        <v>6</v>
      </c>
      <c r="F4" s="12">
        <v>6</v>
      </c>
    </row>
    <row r="5" spans="1:6" x14ac:dyDescent="0.3">
      <c r="A5" s="5" t="s">
        <v>5</v>
      </c>
      <c r="B5" s="12">
        <v>0.2</v>
      </c>
      <c r="C5" s="13">
        <v>5.5</v>
      </c>
      <c r="D5" s="13">
        <v>5.75</v>
      </c>
      <c r="E5" s="13">
        <v>5.75</v>
      </c>
      <c r="F5" s="12">
        <v>5.5</v>
      </c>
    </row>
    <row r="6" spans="1:6" x14ac:dyDescent="0.3">
      <c r="A6" s="5" t="s">
        <v>6</v>
      </c>
      <c r="B6" s="12">
        <v>0.2</v>
      </c>
      <c r="C6" s="13">
        <v>6</v>
      </c>
      <c r="D6" s="13">
        <v>5.5</v>
      </c>
      <c r="E6" s="12">
        <v>5.25</v>
      </c>
      <c r="F6" s="12">
        <v>5.75</v>
      </c>
    </row>
    <row r="7" spans="1:6" x14ac:dyDescent="0.3">
      <c r="A7" s="5" t="s">
        <v>7</v>
      </c>
      <c r="B7" s="12">
        <v>0.1</v>
      </c>
      <c r="C7" s="13">
        <v>6</v>
      </c>
      <c r="D7" s="13">
        <v>5.5</v>
      </c>
      <c r="E7" s="13">
        <v>6</v>
      </c>
      <c r="F7" s="12">
        <v>6</v>
      </c>
    </row>
    <row r="8" spans="1:6" ht="25" thickBot="1" x14ac:dyDescent="0.35">
      <c r="A8" s="6"/>
      <c r="B8" s="12"/>
      <c r="C8" s="13"/>
      <c r="D8" s="13"/>
      <c r="E8" s="13"/>
      <c r="F8" s="12"/>
    </row>
    <row r="9" spans="1:6" s="9" customFormat="1" ht="25" thickBot="1" x14ac:dyDescent="0.35">
      <c r="A9" s="10" t="s">
        <v>12</v>
      </c>
      <c r="B9" s="14"/>
      <c r="C9" s="15">
        <f>$B$2*C2+$B$3*C3+$B$4*C4+$B$5*C5+$B$6*C6+$B$7*C7</f>
        <v>5.65</v>
      </c>
      <c r="D9" s="15">
        <f t="shared" ref="D9:F9" si="0">$B$2*D2+$B$3*D3+$B$4*D4+$B$5*D5+$B$6*D6+$B$7*D7</f>
        <v>5.8</v>
      </c>
      <c r="E9" s="15">
        <f t="shared" si="0"/>
        <v>5.8000000000000007</v>
      </c>
      <c r="F9" s="14">
        <f t="shared" si="0"/>
        <v>5.7000000000000011</v>
      </c>
    </row>
    <row r="10" spans="1:6" s="9" customFormat="1" ht="25" thickBot="1" x14ac:dyDescent="0.35">
      <c r="A10" s="10" t="s">
        <v>69</v>
      </c>
      <c r="B10" s="14"/>
      <c r="C10" s="15">
        <f>MROUND(C9,0.25)</f>
        <v>5.75</v>
      </c>
      <c r="D10" s="15">
        <f t="shared" ref="D10:F10" si="1">MROUND(D9,0.25)</f>
        <v>5.75</v>
      </c>
      <c r="E10" s="15">
        <f t="shared" si="1"/>
        <v>5.75</v>
      </c>
      <c r="F10" s="15">
        <f t="shared" si="1"/>
        <v>5.75</v>
      </c>
    </row>
    <row r="11" spans="1:6" ht="36" x14ac:dyDescent="0.3">
      <c r="A11" s="7" t="s">
        <v>67</v>
      </c>
      <c r="C11" s="22" t="s">
        <v>13</v>
      </c>
      <c r="D11" s="23" t="s">
        <v>15</v>
      </c>
      <c r="E11" s="24" t="s">
        <v>22</v>
      </c>
      <c r="F11" s="25" t="s">
        <v>25</v>
      </c>
    </row>
    <row r="12" spans="1:6" ht="36" x14ac:dyDescent="0.3">
      <c r="C12" s="18" t="s">
        <v>27</v>
      </c>
      <c r="D12" s="19" t="s">
        <v>16</v>
      </c>
      <c r="E12" s="20" t="s">
        <v>21</v>
      </c>
      <c r="F12" s="21" t="s">
        <v>17</v>
      </c>
    </row>
    <row r="13" spans="1:6" ht="36" x14ac:dyDescent="0.3">
      <c r="C13" s="18" t="s">
        <v>18</v>
      </c>
      <c r="D13" s="19" t="s">
        <v>20</v>
      </c>
      <c r="F13" s="21" t="s">
        <v>26</v>
      </c>
    </row>
    <row r="14" spans="1:6" ht="53" x14ac:dyDescent="0.3">
      <c r="D14" s="19" t="s">
        <v>23</v>
      </c>
      <c r="F14" s="21" t="s">
        <v>28</v>
      </c>
    </row>
    <row r="15" spans="1:6" ht="36" x14ac:dyDescent="0.3">
      <c r="D15" s="19" t="s">
        <v>24</v>
      </c>
    </row>
    <row r="17" spans="1:1" x14ac:dyDescent="0.3">
      <c r="A17" s="5"/>
    </row>
    <row r="18" spans="1:1" x14ac:dyDescent="0.3">
      <c r="A18" s="5"/>
    </row>
    <row r="19" spans="1:1" x14ac:dyDescent="0.3">
      <c r="A19" s="5"/>
    </row>
    <row r="20" spans="1:1" x14ac:dyDescent="0.3">
      <c r="A20" s="5"/>
    </row>
    <row r="21" spans="1:1" x14ac:dyDescent="0.3">
      <c r="A21" s="5"/>
    </row>
    <row r="22" spans="1:1" x14ac:dyDescent="0.3">
      <c r="A22"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C1D97-D5EF-EC48-9FD7-6D0890988F73}">
  <dimension ref="A1:F22"/>
  <sheetViews>
    <sheetView workbookViewId="0">
      <selection activeCell="M20" sqref="M20"/>
    </sheetView>
  </sheetViews>
  <sheetFormatPr baseColWidth="10" defaultColWidth="10.83203125" defaultRowHeight="24" x14ac:dyDescent="0.3"/>
  <cols>
    <col min="1" max="1" width="44.33203125" style="7" customWidth="1"/>
    <col min="2" max="2" width="13.6640625" style="8" customWidth="1"/>
    <col min="3" max="5" width="13.33203125" style="7" customWidth="1"/>
    <col min="6" max="6" width="13.33203125" style="8" customWidth="1"/>
    <col min="7" max="16384" width="10.83203125" style="7"/>
  </cols>
  <sheetData>
    <row r="1" spans="1:6" s="4" customFormat="1" x14ac:dyDescent="0.3">
      <c r="A1" s="1" t="s">
        <v>0</v>
      </c>
      <c r="B1" s="2" t="s">
        <v>4</v>
      </c>
      <c r="C1" s="3" t="s">
        <v>8</v>
      </c>
      <c r="D1" s="3" t="s">
        <v>9</v>
      </c>
      <c r="E1" s="1" t="s">
        <v>10</v>
      </c>
      <c r="F1" s="11" t="s">
        <v>11</v>
      </c>
    </row>
    <row r="2" spans="1:6" x14ac:dyDescent="0.3">
      <c r="A2" s="5" t="s">
        <v>1</v>
      </c>
      <c r="B2" s="12">
        <v>0.15</v>
      </c>
      <c r="C2" s="13">
        <v>5</v>
      </c>
      <c r="D2" s="13">
        <v>5</v>
      </c>
      <c r="E2" s="13">
        <v>6</v>
      </c>
      <c r="F2" s="12">
        <v>6</v>
      </c>
    </row>
    <row r="3" spans="1:6" x14ac:dyDescent="0.3">
      <c r="A3" s="5" t="s">
        <v>2</v>
      </c>
      <c r="B3" s="12">
        <v>0.15</v>
      </c>
      <c r="C3" s="13">
        <v>6</v>
      </c>
      <c r="D3" s="13">
        <v>5.5</v>
      </c>
      <c r="E3" s="13">
        <v>6</v>
      </c>
      <c r="F3" s="12">
        <v>6</v>
      </c>
    </row>
    <row r="4" spans="1:6" x14ac:dyDescent="0.3">
      <c r="A4" s="5" t="s">
        <v>3</v>
      </c>
      <c r="B4" s="12">
        <v>0.2</v>
      </c>
      <c r="C4" s="12">
        <v>5.75</v>
      </c>
      <c r="D4" s="13">
        <v>4.5</v>
      </c>
      <c r="E4" s="13">
        <v>5</v>
      </c>
      <c r="F4" s="12">
        <v>5.5</v>
      </c>
    </row>
    <row r="5" spans="1:6" x14ac:dyDescent="0.3">
      <c r="A5" s="5" t="s">
        <v>5</v>
      </c>
      <c r="B5" s="12">
        <v>0.2</v>
      </c>
      <c r="C5" s="13">
        <v>5.5</v>
      </c>
      <c r="D5" s="13">
        <v>4</v>
      </c>
      <c r="E5" s="13">
        <v>5</v>
      </c>
      <c r="F5" s="12">
        <v>4.5</v>
      </c>
    </row>
    <row r="6" spans="1:6" x14ac:dyDescent="0.3">
      <c r="A6" s="5" t="s">
        <v>6</v>
      </c>
      <c r="B6" s="12">
        <v>0.2</v>
      </c>
      <c r="C6" s="13">
        <v>6</v>
      </c>
      <c r="D6" s="13">
        <v>6</v>
      </c>
      <c r="E6" s="12">
        <v>5.75</v>
      </c>
      <c r="F6" s="12">
        <v>5.75</v>
      </c>
    </row>
    <row r="7" spans="1:6" x14ac:dyDescent="0.3">
      <c r="A7" s="5" t="s">
        <v>7</v>
      </c>
      <c r="B7" s="12">
        <v>0.1</v>
      </c>
      <c r="C7" s="13">
        <v>5</v>
      </c>
      <c r="D7" s="13">
        <v>5</v>
      </c>
      <c r="E7" s="13">
        <v>6</v>
      </c>
      <c r="F7" s="12">
        <v>6</v>
      </c>
    </row>
    <row r="8" spans="1:6" ht="25" thickBot="1" x14ac:dyDescent="0.35">
      <c r="A8" s="6"/>
      <c r="B8" s="12"/>
      <c r="C8" s="13"/>
      <c r="D8" s="13"/>
      <c r="E8" s="13"/>
      <c r="F8" s="12"/>
    </row>
    <row r="9" spans="1:6" s="9" customFormat="1" ht="25" thickBot="1" x14ac:dyDescent="0.35">
      <c r="A9" s="10" t="s">
        <v>12</v>
      </c>
      <c r="B9" s="14"/>
      <c r="C9" s="15">
        <f>$B$2*C2+$B$3*C3+$B$4*C4+$B$5*C5+$B$6*C6+$B$7*C7</f>
        <v>5.6</v>
      </c>
      <c r="D9" s="15">
        <f t="shared" ref="D9:F9" si="0">$B$2*D2+$B$3*D3+$B$4*D4+$B$5*D5+$B$6*D6+$B$7*D7</f>
        <v>4.9750000000000005</v>
      </c>
      <c r="E9" s="15">
        <f t="shared" si="0"/>
        <v>5.5500000000000007</v>
      </c>
      <c r="F9" s="14">
        <f t="shared" si="0"/>
        <v>5.5500000000000007</v>
      </c>
    </row>
    <row r="10" spans="1:6" s="9" customFormat="1" ht="25" thickBot="1" x14ac:dyDescent="0.35">
      <c r="A10" s="10" t="s">
        <v>69</v>
      </c>
      <c r="B10" s="14"/>
      <c r="C10" s="15">
        <f>MROUND(C9,0.25)</f>
        <v>5.5</v>
      </c>
      <c r="D10" s="15">
        <f t="shared" ref="D10:F10" si="1">MROUND(D9,0.25)</f>
        <v>5</v>
      </c>
      <c r="E10" s="15">
        <f t="shared" si="1"/>
        <v>5.5</v>
      </c>
      <c r="F10" s="15">
        <f t="shared" si="1"/>
        <v>5.5</v>
      </c>
    </row>
    <row r="11" spans="1:6" ht="36" x14ac:dyDescent="0.3">
      <c r="A11" s="7" t="s">
        <v>67</v>
      </c>
      <c r="C11" s="22" t="s">
        <v>13</v>
      </c>
      <c r="D11" s="23" t="s">
        <v>68</v>
      </c>
      <c r="E11" s="24" t="s">
        <v>22</v>
      </c>
      <c r="F11" s="25" t="s">
        <v>25</v>
      </c>
    </row>
    <row r="12" spans="1:6" ht="36" x14ac:dyDescent="0.3">
      <c r="C12" s="18" t="s">
        <v>27</v>
      </c>
      <c r="D12" s="19" t="s">
        <v>16</v>
      </c>
      <c r="E12" s="20" t="s">
        <v>21</v>
      </c>
      <c r="F12" s="21" t="s">
        <v>17</v>
      </c>
    </row>
    <row r="13" spans="1:6" ht="36" x14ac:dyDescent="0.3">
      <c r="C13" s="18" t="s">
        <v>18</v>
      </c>
      <c r="D13" s="19" t="s">
        <v>20</v>
      </c>
      <c r="F13" s="21" t="s">
        <v>26</v>
      </c>
    </row>
    <row r="14" spans="1:6" ht="53" x14ac:dyDescent="0.3">
      <c r="D14" s="19" t="s">
        <v>23</v>
      </c>
      <c r="F14" s="21" t="s">
        <v>28</v>
      </c>
    </row>
    <row r="15" spans="1:6" ht="36" x14ac:dyDescent="0.3">
      <c r="D15" s="19" t="s">
        <v>24</v>
      </c>
    </row>
    <row r="17" spans="1:1" x14ac:dyDescent="0.3">
      <c r="A17" s="5"/>
    </row>
    <row r="18" spans="1:1" x14ac:dyDescent="0.3">
      <c r="A18" s="5"/>
    </row>
    <row r="19" spans="1:1" x14ac:dyDescent="0.3">
      <c r="A19" s="5"/>
    </row>
    <row r="20" spans="1:1" x14ac:dyDescent="0.3">
      <c r="A20" s="5"/>
    </row>
    <row r="21" spans="1:1" x14ac:dyDescent="0.3">
      <c r="A21" s="5"/>
    </row>
    <row r="22" spans="1:1" x14ac:dyDescent="0.3">
      <c r="A22"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BFB32-032F-3642-9D1B-160639058C03}">
  <dimension ref="A1:A7"/>
  <sheetViews>
    <sheetView workbookViewId="0">
      <selection activeCell="A5" sqref="A5"/>
    </sheetView>
  </sheetViews>
  <sheetFormatPr baseColWidth="10" defaultRowHeight="16" x14ac:dyDescent="0.2"/>
  <cols>
    <col min="1" max="1" width="255.6640625" customWidth="1"/>
  </cols>
  <sheetData>
    <row r="1" spans="1:1" ht="408" customHeight="1" x14ac:dyDescent="0.2">
      <c r="A1" s="27" t="s">
        <v>70</v>
      </c>
    </row>
    <row r="3" spans="1:1" ht="409.6" x14ac:dyDescent="0.2">
      <c r="A3" s="27" t="s">
        <v>71</v>
      </c>
    </row>
    <row r="5" spans="1:1" ht="409.6" x14ac:dyDescent="0.2">
      <c r="A5" s="27" t="s">
        <v>72</v>
      </c>
    </row>
    <row r="7" spans="1:1" ht="388" x14ac:dyDescent="0.2">
      <c r="A7" s="27" t="s">
        <v>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6F91-4D85-A143-89FC-7C097D18C98B}">
  <dimension ref="A1:A7"/>
  <sheetViews>
    <sheetView workbookViewId="0"/>
  </sheetViews>
  <sheetFormatPr baseColWidth="10" defaultRowHeight="16" x14ac:dyDescent="0.2"/>
  <cols>
    <col min="1" max="1" width="255.6640625" customWidth="1"/>
  </cols>
  <sheetData>
    <row r="1" spans="1:1" ht="372" x14ac:dyDescent="0.2">
      <c r="A1" s="27" t="s">
        <v>74</v>
      </c>
    </row>
    <row r="3" spans="1:1" ht="409.6" x14ac:dyDescent="0.2">
      <c r="A3" s="27" t="s">
        <v>75</v>
      </c>
    </row>
    <row r="5" spans="1:1" ht="409.6" x14ac:dyDescent="0.2">
      <c r="A5" s="27" t="s">
        <v>76</v>
      </c>
    </row>
    <row r="7" spans="1:1" ht="306" x14ac:dyDescent="0.2">
      <c r="A7" s="27" t="s">
        <v>77</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2C76-CE0C-C644-A6F3-42A694F9C3E0}">
  <dimension ref="A1:A8"/>
  <sheetViews>
    <sheetView workbookViewId="0">
      <selection activeCell="A2" sqref="A2"/>
    </sheetView>
  </sheetViews>
  <sheetFormatPr baseColWidth="10" defaultRowHeight="16" x14ac:dyDescent="0.2"/>
  <cols>
    <col min="1" max="1" width="255.6640625" customWidth="1"/>
  </cols>
  <sheetData>
    <row r="1" spans="1:1" x14ac:dyDescent="0.2">
      <c r="A1" s="27"/>
    </row>
    <row r="2" spans="1:1" ht="409.6" x14ac:dyDescent="0.2">
      <c r="A2" s="27" t="s">
        <v>81</v>
      </c>
    </row>
    <row r="3" spans="1:1" x14ac:dyDescent="0.2">
      <c r="A3" s="27"/>
    </row>
    <row r="4" spans="1:1" ht="356" x14ac:dyDescent="0.2">
      <c r="A4" s="27" t="s">
        <v>78</v>
      </c>
    </row>
    <row r="5" spans="1:1" x14ac:dyDescent="0.2">
      <c r="A5" s="27"/>
    </row>
    <row r="6" spans="1:1" ht="388" x14ac:dyDescent="0.2">
      <c r="A6" s="27" t="s">
        <v>80</v>
      </c>
    </row>
    <row r="7" spans="1:1" x14ac:dyDescent="0.2">
      <c r="A7" s="27"/>
    </row>
    <row r="8" spans="1:1" ht="340" x14ac:dyDescent="0.2">
      <c r="A8" s="27" t="s">
        <v>79</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Students</vt:lpstr>
      <vt:lpstr>project3</vt:lpstr>
      <vt:lpstr>project2</vt:lpstr>
      <vt:lpstr>project1</vt:lpstr>
      <vt:lpstr>Feedbacks mini project 1</vt:lpstr>
      <vt:lpstr>Feedbacks mini project 2</vt:lpstr>
      <vt:lpstr>Feedbacks mini project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Stefano Burzio</dc:creator>
  <cp:lastModifiedBy>Stefano Burzio</cp:lastModifiedBy>
  <dcterms:created xsi:type="dcterms:W3CDTF">2025-03-27T08:32:02Z</dcterms:created>
  <dcterms:modified xsi:type="dcterms:W3CDTF">2025-06-18T16:13:57Z</dcterms:modified>
</cp:coreProperties>
</file>