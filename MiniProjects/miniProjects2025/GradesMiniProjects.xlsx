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zio/Documents/EPFL/Genie mecanique/ME-473 - Dynamic finite element analysis of structures/MiniProjects/miniProjects2025/"/>
    </mc:Choice>
  </mc:AlternateContent>
  <xr:revisionPtr revIDLastSave="0" documentId="13_ncr:1_{9272007C-7DE5-4740-96D6-FF769A700DFA}" xr6:coauthVersionLast="47" xr6:coauthVersionMax="47" xr10:uidLastSave="{00000000-0000-0000-0000-000000000000}"/>
  <bookViews>
    <workbookView xWindow="-24800" yWindow="600" windowWidth="24460" windowHeight="26520" activeTab="3" xr2:uid="{571D87FF-0875-C743-8CA7-495BEF6BA785}"/>
  </bookViews>
  <sheets>
    <sheet name="Students" sheetId="2" r:id="rId1"/>
    <sheet name="project1" sheetId="1" r:id="rId2"/>
    <sheet name="project2" sheetId="3" r:id="rId3"/>
    <sheet name="project3" sheetId="6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F10" i="6" s="1"/>
  <c r="G9" i="6"/>
  <c r="G10" i="6" s="1"/>
  <c r="H9" i="6"/>
  <c r="H10" i="6" s="1"/>
  <c r="I9" i="6"/>
  <c r="I10" i="6" s="1"/>
  <c r="J9" i="6"/>
  <c r="J10" i="6" s="1"/>
  <c r="K9" i="6"/>
  <c r="K10" i="6" s="1"/>
  <c r="L9" i="6"/>
  <c r="L10" i="6" s="1"/>
  <c r="F9" i="3"/>
  <c r="F10" i="3"/>
  <c r="F9" i="1"/>
  <c r="F10" i="1"/>
  <c r="E9" i="6"/>
  <c r="E10" i="6" s="1"/>
  <c r="D9" i="6"/>
  <c r="D10" i="6" s="1"/>
  <c r="C9" i="6"/>
  <c r="C10" i="6" s="1"/>
  <c r="E9" i="3"/>
  <c r="E10" i="3" s="1"/>
  <c r="D9" i="3"/>
  <c r="D10" i="3" s="1"/>
  <c r="C9" i="3"/>
  <c r="C10" i="3" s="1"/>
  <c r="D9" i="1"/>
  <c r="D10" i="1" s="1"/>
  <c r="E9" i="1"/>
  <c r="E10" i="1" s="1"/>
  <c r="C9" i="1"/>
  <c r="C10" i="1" s="1"/>
</calcChain>
</file>

<file path=xl/sharedStrings.xml><?xml version="1.0" encoding="utf-8"?>
<sst xmlns="http://schemas.openxmlformats.org/spreadsheetml/2006/main" count="83" uniqueCount="27">
  <si>
    <t>Evaluation Criteria</t>
  </si>
  <si>
    <t>Problem Definition and Objectives </t>
  </si>
  <si>
    <t>Methodology and Approach</t>
  </si>
  <si>
    <t>Coding and Simulation</t>
  </si>
  <si>
    <t>Weights</t>
  </si>
  <si>
    <t>Results and Analysis</t>
  </si>
  <si>
    <t>Report Structure and Presentation</t>
  </si>
  <si>
    <t>Innovation and Critical Thinking </t>
  </si>
  <si>
    <t>Group B</t>
  </si>
  <si>
    <t>Group C</t>
  </si>
  <si>
    <t>Final grade</t>
  </si>
  <si>
    <t>Nom Prénom</t>
  </si>
  <si>
    <t>Students</t>
  </si>
  <si>
    <t xml:space="preserve">Final grade (rounded) </t>
  </si>
  <si>
    <t>Brandstätter Nicholas Richard</t>
  </si>
  <si>
    <t>Chalhoub Marc-Antonio</t>
  </si>
  <si>
    <t>Deric Mateja</t>
  </si>
  <si>
    <t>Divoux Louis Jun Michel</t>
  </si>
  <si>
    <t>Hermant Jérémy Binjamin L.</t>
  </si>
  <si>
    <t>Ibrahim Mario</t>
  </si>
  <si>
    <t>Lin Théodore</t>
  </si>
  <si>
    <t>Locatelli Mirco</t>
  </si>
  <si>
    <t>Mollet Gabriel</t>
  </si>
  <si>
    <t>Olivier Lucas Etienne Armand</t>
  </si>
  <si>
    <t>Group A</t>
  </si>
  <si>
    <t>Fuser Michaël</t>
  </si>
  <si>
    <t>Fuser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</si>
</sst>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Aptos Narrow"/>
      <family val="2"/>
      <scheme val="minor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Aptos Narrow"/>
      <family val="2"/>
      <scheme val="minor"/>
    </font>
    <font>
      <sz val="12"/>
      <color theme="1"/>
      <name val="Aptos Narrow (Body)"/>
    </font>
    <font>
      <b/>
      <sz val="18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2" borderId="6" xfId="0" applyFont="1" applyFill="1" applyBorder="1"/>
    <xf numFmtId="0" fontId="5" fillId="2" borderId="4" xfId="0" applyFont="1" applyFill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0" fillId="0" borderId="7" xfId="0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7" fillId="0" borderId="0" xfId="0" applyFont="1" applyAlignment="1">
      <alignment horizontal="center"/>
    </xf>
    <xf numFmtId="0" fontId="0" fillId="5" borderId="7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4" borderId="9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2" borderId="8" xfId="0" applyFill="1" applyBorder="1"/>
    <xf numFmtId="0" fontId="8" fillId="6" borderId="0" xfId="0" applyFont="1" applyFill="1" applyAlignment="1">
      <alignment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9" fillId="2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01A-BCBE-CB4A-BDE9-1ADA46647807}">
  <dimension ref="A1:B12"/>
  <sheetViews>
    <sheetView zoomScale="150" zoomScaleNormal="253" workbookViewId="0">
      <selection activeCell="C14" sqref="C14"/>
    </sheetView>
  </sheetViews>
  <sheetFormatPr baseColWidth="10" defaultRowHeight="16" x14ac:dyDescent="0.2"/>
  <cols>
    <col min="1" max="1" width="5.83203125" bestFit="1" customWidth="1"/>
    <col min="2" max="2" width="28" bestFit="1" customWidth="1"/>
  </cols>
  <sheetData>
    <row r="1" spans="1:2" ht="17" x14ac:dyDescent="0.2">
      <c r="A1" s="16"/>
      <c r="B1" s="16" t="s">
        <v>11</v>
      </c>
    </row>
    <row r="2" spans="1:2" ht="17" x14ac:dyDescent="0.2">
      <c r="A2" s="15">
        <v>1</v>
      </c>
      <c r="B2" s="21" t="s">
        <v>14</v>
      </c>
    </row>
    <row r="3" spans="1:2" ht="17" x14ac:dyDescent="0.2">
      <c r="A3" s="15">
        <v>2</v>
      </c>
      <c r="B3" s="17" t="s">
        <v>15</v>
      </c>
    </row>
    <row r="4" spans="1:2" ht="17" x14ac:dyDescent="0.2">
      <c r="A4" s="15">
        <v>3</v>
      </c>
      <c r="B4" s="19" t="s">
        <v>16</v>
      </c>
    </row>
    <row r="5" spans="1:2" ht="17" x14ac:dyDescent="0.2">
      <c r="A5" s="15">
        <v>4</v>
      </c>
      <c r="B5" s="18" t="s">
        <v>17</v>
      </c>
    </row>
    <row r="6" spans="1:2" ht="17" x14ac:dyDescent="0.2">
      <c r="A6" s="15">
        <v>5</v>
      </c>
      <c r="B6" s="18" t="s">
        <v>18</v>
      </c>
    </row>
    <row r="7" spans="1:2" ht="17" x14ac:dyDescent="0.2">
      <c r="A7" s="15">
        <v>6</v>
      </c>
      <c r="B7" s="18" t="s">
        <v>19</v>
      </c>
    </row>
    <row r="8" spans="1:2" ht="17" x14ac:dyDescent="0.2">
      <c r="A8" s="15">
        <v>7</v>
      </c>
      <c r="B8" s="18" t="s">
        <v>20</v>
      </c>
    </row>
    <row r="9" spans="1:2" ht="17" x14ac:dyDescent="0.2">
      <c r="A9" s="15">
        <v>8</v>
      </c>
      <c r="B9" s="19" t="s">
        <v>21</v>
      </c>
    </row>
    <row r="10" spans="1:2" ht="17" x14ac:dyDescent="0.2">
      <c r="A10" s="15">
        <v>9</v>
      </c>
      <c r="B10" s="17" t="s">
        <v>22</v>
      </c>
    </row>
    <row r="11" spans="1:2" ht="17" x14ac:dyDescent="0.2">
      <c r="A11" s="22">
        <v>10</v>
      </c>
      <c r="B11" s="23" t="s">
        <v>23</v>
      </c>
    </row>
    <row r="12" spans="1:2" x14ac:dyDescent="0.2">
      <c r="A12" s="24">
        <v>11</v>
      </c>
      <c r="B12" s="25" t="s">
        <v>25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1D97-D5EF-EC48-9FD7-6D0890988F73}">
  <dimension ref="A1:F22"/>
  <sheetViews>
    <sheetView workbookViewId="0">
      <selection activeCell="B25" sqref="B25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5" width="13.33203125" style="7" customWidth="1"/>
    <col min="6" max="16384" width="10.83203125" style="7"/>
  </cols>
  <sheetData>
    <row r="1" spans="1:6" s="4" customFormat="1" x14ac:dyDescent="0.3">
      <c r="A1" s="1" t="s">
        <v>0</v>
      </c>
      <c r="B1" s="2" t="s">
        <v>4</v>
      </c>
      <c r="C1" s="3" t="s">
        <v>24</v>
      </c>
      <c r="D1" s="3" t="s">
        <v>8</v>
      </c>
      <c r="E1" s="1" t="s">
        <v>9</v>
      </c>
      <c r="F1" s="4" t="s">
        <v>26</v>
      </c>
    </row>
    <row r="2" spans="1:6" x14ac:dyDescent="0.3">
      <c r="A2" s="5" t="s">
        <v>1</v>
      </c>
      <c r="B2" s="11">
        <v>0.15</v>
      </c>
      <c r="C2" s="12">
        <v>5.5</v>
      </c>
      <c r="D2" s="12">
        <v>6</v>
      </c>
      <c r="E2" s="12">
        <v>5.75</v>
      </c>
      <c r="F2" s="7">
        <v>6</v>
      </c>
    </row>
    <row r="3" spans="1:6" x14ac:dyDescent="0.3">
      <c r="A3" s="5" t="s">
        <v>2</v>
      </c>
      <c r="B3" s="11">
        <v>0.15</v>
      </c>
      <c r="C3" s="12">
        <v>5.75</v>
      </c>
      <c r="D3" s="12">
        <v>5.25</v>
      </c>
      <c r="E3" s="12">
        <v>5.5</v>
      </c>
      <c r="F3" s="7">
        <v>5.75</v>
      </c>
    </row>
    <row r="4" spans="1:6" x14ac:dyDescent="0.3">
      <c r="A4" s="5" t="s">
        <v>3</v>
      </c>
      <c r="B4" s="11">
        <v>0.2</v>
      </c>
      <c r="C4" s="20">
        <v>4</v>
      </c>
      <c r="D4" s="12">
        <v>5.5</v>
      </c>
      <c r="E4" s="12">
        <v>5</v>
      </c>
      <c r="F4" s="7">
        <v>6</v>
      </c>
    </row>
    <row r="5" spans="1:6" x14ac:dyDescent="0.3">
      <c r="A5" s="5" t="s">
        <v>5</v>
      </c>
      <c r="B5" s="11">
        <v>0.2</v>
      </c>
      <c r="C5" s="12">
        <v>5</v>
      </c>
      <c r="D5" s="12">
        <v>5.25</v>
      </c>
      <c r="E5" s="12">
        <v>4</v>
      </c>
      <c r="F5" s="7">
        <v>5.5</v>
      </c>
    </row>
    <row r="6" spans="1:6" x14ac:dyDescent="0.3">
      <c r="A6" s="5" t="s">
        <v>6</v>
      </c>
      <c r="B6" s="11">
        <v>0.2</v>
      </c>
      <c r="C6" s="12">
        <v>5.75</v>
      </c>
      <c r="D6" s="12">
        <v>5.75</v>
      </c>
      <c r="E6" s="20">
        <v>5.5</v>
      </c>
      <c r="F6" s="7">
        <v>6</v>
      </c>
    </row>
    <row r="7" spans="1:6" x14ac:dyDescent="0.3">
      <c r="A7" s="5" t="s">
        <v>7</v>
      </c>
      <c r="B7" s="11">
        <v>0.1</v>
      </c>
      <c r="C7" s="12">
        <v>5</v>
      </c>
      <c r="D7" s="12">
        <v>5</v>
      </c>
      <c r="E7" s="12">
        <v>5</v>
      </c>
      <c r="F7" s="7">
        <v>5.75</v>
      </c>
    </row>
    <row r="8" spans="1:6" ht="25" thickBot="1" x14ac:dyDescent="0.35">
      <c r="A8" s="6"/>
      <c r="B8" s="11"/>
      <c r="C8" s="12"/>
      <c r="D8" s="12"/>
      <c r="E8" s="12"/>
    </row>
    <row r="9" spans="1:6" s="9" customFormat="1" ht="25" thickBot="1" x14ac:dyDescent="0.35">
      <c r="A9" s="10" t="s">
        <v>10</v>
      </c>
      <c r="B9" s="13"/>
      <c r="C9" s="14">
        <f>$B$2*C2+$B$3*C3+$B$4*C4+$B$5*C5+$B$6*C6+$B$7*C7</f>
        <v>5.1375000000000002</v>
      </c>
      <c r="D9" s="14">
        <f>$B$2*D2+$B$3*D3+$B$4*D4+$B$5*D5+$B$6*D6+$B$7*D7</f>
        <v>5.4875000000000007</v>
      </c>
      <c r="E9" s="14">
        <f>$B$2*E2+$B$3*E3+$B$4*E4+$B$5*E5+$B$6*E6+$B$7*E7</f>
        <v>5.0875000000000004</v>
      </c>
      <c r="F9" s="14">
        <f>$B$2*F2+$B$3*F3+$B$4*F4+$B$5*F5+$B$6*F6+$B$7*F7</f>
        <v>5.8375000000000004</v>
      </c>
    </row>
    <row r="10" spans="1:6" s="9" customFormat="1" ht="25" thickBot="1" x14ac:dyDescent="0.35">
      <c r="A10" s="10" t="s">
        <v>13</v>
      </c>
      <c r="B10" s="13"/>
      <c r="C10" s="14">
        <f>MROUND(C9,0.25)</f>
        <v>5.25</v>
      </c>
      <c r="D10" s="14">
        <f t="shared" ref="D10:E10" si="0">MROUND(D9,0.25)</f>
        <v>5.5</v>
      </c>
      <c r="E10" s="14">
        <f t="shared" si="0"/>
        <v>5</v>
      </c>
      <c r="F10" s="14">
        <f t="shared" ref="F10" si="1">MROUND(F9,0.25)</f>
        <v>5.75</v>
      </c>
    </row>
    <row r="11" spans="1:6" ht="36" x14ac:dyDescent="0.3">
      <c r="A11" s="7" t="s">
        <v>12</v>
      </c>
      <c r="C11" s="18" t="s">
        <v>17</v>
      </c>
      <c r="D11" s="19" t="s">
        <v>16</v>
      </c>
      <c r="E11" s="17" t="s">
        <v>15</v>
      </c>
      <c r="F11" s="26" t="s">
        <v>25</v>
      </c>
    </row>
    <row r="12" spans="1:6" ht="53" x14ac:dyDescent="0.3">
      <c r="C12" s="18" t="s">
        <v>18</v>
      </c>
      <c r="D12" s="19" t="s">
        <v>21</v>
      </c>
      <c r="E12" s="17" t="s">
        <v>22</v>
      </c>
    </row>
    <row r="13" spans="1:6" ht="53" x14ac:dyDescent="0.3">
      <c r="C13" s="18" t="s">
        <v>19</v>
      </c>
      <c r="D13" s="19" t="s">
        <v>23</v>
      </c>
    </row>
    <row r="14" spans="1:6" x14ac:dyDescent="0.3">
      <c r="C14" s="18" t="s">
        <v>20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4BE3-EB13-6542-A4FE-A6904517CF41}">
  <dimension ref="A1:F22"/>
  <sheetViews>
    <sheetView workbookViewId="0">
      <selection activeCell="B25" sqref="B25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5" width="13.33203125" style="7" customWidth="1"/>
    <col min="6" max="16384" width="10.83203125" style="7"/>
  </cols>
  <sheetData>
    <row r="1" spans="1:6" s="4" customFormat="1" x14ac:dyDescent="0.3">
      <c r="A1" s="1" t="s">
        <v>0</v>
      </c>
      <c r="B1" s="2" t="s">
        <v>4</v>
      </c>
      <c r="C1" s="3" t="s">
        <v>24</v>
      </c>
      <c r="D1" s="3" t="s">
        <v>8</v>
      </c>
      <c r="E1" s="1" t="s">
        <v>9</v>
      </c>
      <c r="F1" s="4" t="s">
        <v>26</v>
      </c>
    </row>
    <row r="2" spans="1:6" x14ac:dyDescent="0.3">
      <c r="A2" s="5" t="s">
        <v>1</v>
      </c>
      <c r="B2" s="11">
        <v>0.15</v>
      </c>
      <c r="C2" s="12">
        <v>5.5</v>
      </c>
      <c r="D2" s="12">
        <v>6</v>
      </c>
      <c r="E2" s="28">
        <v>4</v>
      </c>
      <c r="F2" s="7">
        <v>5.75</v>
      </c>
    </row>
    <row r="3" spans="1:6" x14ac:dyDescent="0.3">
      <c r="A3" s="5" t="s">
        <v>2</v>
      </c>
      <c r="B3" s="11">
        <v>0.15</v>
      </c>
      <c r="C3" s="12">
        <v>4</v>
      </c>
      <c r="D3" s="12">
        <v>5</v>
      </c>
      <c r="E3" s="28">
        <v>4</v>
      </c>
      <c r="F3" s="7">
        <v>5</v>
      </c>
    </row>
    <row r="4" spans="1:6" x14ac:dyDescent="0.3">
      <c r="A4" s="5" t="s">
        <v>3</v>
      </c>
      <c r="B4" s="11">
        <v>0.2</v>
      </c>
      <c r="C4" s="27">
        <v>5.75</v>
      </c>
      <c r="D4" s="12">
        <v>5.75</v>
      </c>
      <c r="E4" s="28">
        <v>5.75</v>
      </c>
      <c r="F4" s="7">
        <v>6</v>
      </c>
    </row>
    <row r="5" spans="1:6" x14ac:dyDescent="0.3">
      <c r="A5" s="5" t="s">
        <v>5</v>
      </c>
      <c r="B5" s="11">
        <v>0.2</v>
      </c>
      <c r="C5" s="12">
        <v>4.5</v>
      </c>
      <c r="D5" s="12">
        <v>4.5</v>
      </c>
      <c r="E5" s="28">
        <v>4</v>
      </c>
      <c r="F5" s="7">
        <v>6</v>
      </c>
    </row>
    <row r="6" spans="1:6" x14ac:dyDescent="0.3">
      <c r="A6" s="5" t="s">
        <v>6</v>
      </c>
      <c r="B6" s="11">
        <v>0.2</v>
      </c>
      <c r="C6" s="12">
        <v>5</v>
      </c>
      <c r="D6" s="12">
        <v>5.75</v>
      </c>
      <c r="E6" s="27">
        <v>3.5</v>
      </c>
      <c r="F6" s="7">
        <v>5.75</v>
      </c>
    </row>
    <row r="7" spans="1:6" x14ac:dyDescent="0.3">
      <c r="A7" s="5" t="s">
        <v>7</v>
      </c>
      <c r="B7" s="11">
        <v>0.1</v>
      </c>
      <c r="C7" s="12">
        <v>6</v>
      </c>
      <c r="D7" s="12">
        <v>5.5</v>
      </c>
      <c r="E7" s="28">
        <v>4</v>
      </c>
      <c r="F7" s="7">
        <v>6</v>
      </c>
    </row>
    <row r="8" spans="1:6" ht="25" thickBot="1" x14ac:dyDescent="0.35">
      <c r="A8" s="6"/>
      <c r="B8" s="11"/>
      <c r="C8" s="12"/>
      <c r="D8" s="12"/>
      <c r="E8" s="12"/>
    </row>
    <row r="9" spans="1:6" s="9" customFormat="1" ht="25" thickBot="1" x14ac:dyDescent="0.35">
      <c r="A9" s="10" t="s">
        <v>10</v>
      </c>
      <c r="B9" s="13"/>
      <c r="C9" s="14">
        <f>$B$2*C2+$B$3*C3+$B$4*C4+$B$5*C5+$B$6*C6+$B$7*C7</f>
        <v>5.0749999999999993</v>
      </c>
      <c r="D9" s="14">
        <f t="shared" ref="D9:E9" si="0">$B$2*D2+$B$3*D3+$B$4*D4+$B$5*D5+$B$6*D6+$B$7*D7</f>
        <v>5.3999999999999995</v>
      </c>
      <c r="E9" s="14">
        <f t="shared" si="0"/>
        <v>4.2500000000000009</v>
      </c>
      <c r="F9" s="14">
        <f t="shared" ref="F9" si="1">$B$2*F2+$B$3*F3+$B$4*F4+$B$5*F5+$B$6*F6+$B$7*F7</f>
        <v>5.7625000000000011</v>
      </c>
    </row>
    <row r="10" spans="1:6" s="9" customFormat="1" ht="25" thickBot="1" x14ac:dyDescent="0.35">
      <c r="A10" s="10" t="s">
        <v>13</v>
      </c>
      <c r="B10" s="13"/>
      <c r="C10" s="14">
        <f>MROUND(C9,0.25)</f>
        <v>5</v>
      </c>
      <c r="D10" s="14">
        <f t="shared" ref="D10:E10" si="2">MROUND(D9,0.25)</f>
        <v>5.5</v>
      </c>
      <c r="E10" s="14">
        <f t="shared" si="2"/>
        <v>4.25</v>
      </c>
      <c r="F10" s="14">
        <f t="shared" ref="F10" si="3">MROUND(F9,0.25)</f>
        <v>5.75</v>
      </c>
    </row>
    <row r="11" spans="1:6" ht="36" x14ac:dyDescent="0.3">
      <c r="A11" s="7" t="s">
        <v>12</v>
      </c>
      <c r="C11" s="18" t="s">
        <v>17</v>
      </c>
      <c r="D11" s="19" t="s">
        <v>16</v>
      </c>
      <c r="E11" s="17" t="s">
        <v>15</v>
      </c>
      <c r="F11" s="26" t="s">
        <v>25</v>
      </c>
    </row>
    <row r="12" spans="1:6" ht="53" x14ac:dyDescent="0.3">
      <c r="C12" s="18" t="s">
        <v>18</v>
      </c>
      <c r="D12" s="19" t="s">
        <v>21</v>
      </c>
      <c r="E12" s="17" t="s">
        <v>22</v>
      </c>
    </row>
    <row r="13" spans="1:6" ht="53" x14ac:dyDescent="0.3">
      <c r="C13" s="18" t="s">
        <v>19</v>
      </c>
      <c r="D13" s="19" t="s">
        <v>23</v>
      </c>
    </row>
    <row r="14" spans="1:6" x14ac:dyDescent="0.3">
      <c r="C14" s="18" t="s">
        <v>20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65AE-9582-BF4F-9763-199F7D73A2D0}">
  <dimension ref="A1:L22"/>
  <sheetViews>
    <sheetView tabSelected="1" workbookViewId="0">
      <selection activeCell="F4" sqref="F4"/>
    </sheetView>
  </sheetViews>
  <sheetFormatPr baseColWidth="10" defaultColWidth="10.83203125" defaultRowHeight="24" x14ac:dyDescent="0.3"/>
  <cols>
    <col min="1" max="1" width="44.33203125" style="7" customWidth="1"/>
    <col min="2" max="2" width="13.6640625" style="8" customWidth="1"/>
    <col min="3" max="3" width="12.6640625" style="7" customWidth="1"/>
    <col min="4" max="4" width="15.83203125" style="7" customWidth="1"/>
    <col min="5" max="5" width="15.5" style="7" customWidth="1"/>
    <col min="6" max="6" width="12.83203125" style="7" customWidth="1"/>
    <col min="7" max="7" width="13.33203125" style="7" customWidth="1"/>
    <col min="8" max="8" width="14.6640625" style="7" customWidth="1"/>
    <col min="9" max="9" width="12.6640625" style="7" customWidth="1"/>
    <col min="10" max="10" width="13.6640625" style="7" customWidth="1"/>
    <col min="11" max="11" width="13.33203125" style="7" customWidth="1"/>
    <col min="12" max="12" width="14.5" style="7" customWidth="1"/>
    <col min="13" max="16384" width="10.83203125" style="7"/>
  </cols>
  <sheetData>
    <row r="1" spans="1:12" s="31" customFormat="1" ht="113" customHeight="1" x14ac:dyDescent="0.3">
      <c r="A1" s="29" t="s">
        <v>0</v>
      </c>
      <c r="B1" s="30" t="s">
        <v>4</v>
      </c>
      <c r="C1" s="32" t="s">
        <v>22</v>
      </c>
      <c r="D1" s="32" t="s">
        <v>18</v>
      </c>
      <c r="E1" s="33" t="s">
        <v>17</v>
      </c>
      <c r="F1" s="34" t="s">
        <v>23</v>
      </c>
      <c r="G1" s="34" t="s">
        <v>15</v>
      </c>
      <c r="H1" s="34" t="s">
        <v>19</v>
      </c>
      <c r="I1" s="34" t="s">
        <v>16</v>
      </c>
      <c r="J1" s="35" t="s">
        <v>25</v>
      </c>
      <c r="K1" s="34" t="s">
        <v>21</v>
      </c>
      <c r="L1" s="34" t="s">
        <v>20</v>
      </c>
    </row>
    <row r="2" spans="1:12" x14ac:dyDescent="0.3">
      <c r="A2" s="5" t="s">
        <v>1</v>
      </c>
      <c r="B2" s="11">
        <v>0.15</v>
      </c>
      <c r="C2" s="28">
        <v>6</v>
      </c>
      <c r="D2" s="28">
        <v>6</v>
      </c>
      <c r="E2" s="28">
        <v>6</v>
      </c>
      <c r="F2" s="27">
        <v>5.75</v>
      </c>
      <c r="G2" s="27">
        <v>6</v>
      </c>
      <c r="H2" s="27">
        <v>6</v>
      </c>
      <c r="I2" s="27">
        <v>6</v>
      </c>
      <c r="J2" s="27">
        <v>5.5</v>
      </c>
      <c r="K2" s="27">
        <v>5</v>
      </c>
      <c r="L2" s="27">
        <v>5.5</v>
      </c>
    </row>
    <row r="3" spans="1:12" x14ac:dyDescent="0.3">
      <c r="A3" s="5" t="s">
        <v>2</v>
      </c>
      <c r="B3" s="11">
        <v>0.15</v>
      </c>
      <c r="C3" s="28">
        <v>5.5</v>
      </c>
      <c r="D3" s="28">
        <v>6</v>
      </c>
      <c r="E3" s="28">
        <v>6</v>
      </c>
      <c r="F3" s="27">
        <v>5.25</v>
      </c>
      <c r="G3" s="27">
        <v>6</v>
      </c>
      <c r="H3" s="27">
        <v>5.25</v>
      </c>
      <c r="I3" s="27">
        <v>5.5</v>
      </c>
      <c r="J3" s="27">
        <v>5.25</v>
      </c>
      <c r="K3" s="27">
        <v>5.25</v>
      </c>
      <c r="L3" s="27">
        <v>6</v>
      </c>
    </row>
    <row r="4" spans="1:12" x14ac:dyDescent="0.3">
      <c r="A4" s="5" t="s">
        <v>3</v>
      </c>
      <c r="B4" s="11">
        <v>0.2</v>
      </c>
      <c r="C4" s="27">
        <v>5.25</v>
      </c>
      <c r="D4" s="28">
        <v>5.75</v>
      </c>
      <c r="E4" s="28">
        <v>5.5</v>
      </c>
      <c r="F4" s="27">
        <v>4</v>
      </c>
      <c r="G4" s="27">
        <v>5.5</v>
      </c>
      <c r="H4" s="27">
        <v>5.25</v>
      </c>
      <c r="I4" s="27">
        <v>5.5</v>
      </c>
      <c r="J4" s="27">
        <v>6</v>
      </c>
      <c r="K4" s="27">
        <v>5.5</v>
      </c>
      <c r="L4" s="27">
        <v>5.25</v>
      </c>
    </row>
    <row r="5" spans="1:12" x14ac:dyDescent="0.3">
      <c r="A5" s="5" t="s">
        <v>5</v>
      </c>
      <c r="B5" s="11">
        <v>0.2</v>
      </c>
      <c r="C5" s="28">
        <v>4</v>
      </c>
      <c r="D5" s="28">
        <v>5.75</v>
      </c>
      <c r="E5" s="28">
        <v>6</v>
      </c>
      <c r="F5" s="27">
        <v>4.5</v>
      </c>
      <c r="G5" s="27">
        <v>6</v>
      </c>
      <c r="H5" s="27">
        <v>5.5</v>
      </c>
      <c r="I5" s="27">
        <v>4</v>
      </c>
      <c r="J5" s="27">
        <v>5.5</v>
      </c>
      <c r="K5" s="27">
        <v>5.75</v>
      </c>
      <c r="L5" s="27">
        <v>5.5</v>
      </c>
    </row>
    <row r="6" spans="1:12" x14ac:dyDescent="0.3">
      <c r="A6" s="5" t="s">
        <v>6</v>
      </c>
      <c r="B6" s="11">
        <v>0.2</v>
      </c>
      <c r="C6" s="28">
        <v>6</v>
      </c>
      <c r="D6" s="28">
        <v>6</v>
      </c>
      <c r="E6" s="27">
        <v>5.5</v>
      </c>
      <c r="F6" s="27">
        <v>5</v>
      </c>
      <c r="G6" s="27">
        <v>5.25</v>
      </c>
      <c r="H6" s="27">
        <v>5</v>
      </c>
      <c r="I6" s="27">
        <v>5.25</v>
      </c>
      <c r="J6" s="27">
        <v>5.25</v>
      </c>
      <c r="K6" s="27">
        <v>5.5</v>
      </c>
      <c r="L6" s="27">
        <v>4.5</v>
      </c>
    </row>
    <row r="7" spans="1:12" x14ac:dyDescent="0.3">
      <c r="A7" s="5" t="s">
        <v>7</v>
      </c>
      <c r="B7" s="11">
        <v>0.1</v>
      </c>
      <c r="C7" s="28">
        <v>5</v>
      </c>
      <c r="D7" s="28">
        <v>5.75</v>
      </c>
      <c r="E7" s="28">
        <v>5.5</v>
      </c>
      <c r="F7" s="27">
        <v>5</v>
      </c>
      <c r="G7" s="27">
        <v>5.5</v>
      </c>
      <c r="H7" s="27">
        <v>4</v>
      </c>
      <c r="I7" s="27">
        <v>4</v>
      </c>
      <c r="J7" s="27">
        <v>5</v>
      </c>
      <c r="K7" s="27">
        <v>5.25</v>
      </c>
      <c r="L7" s="27">
        <v>5.25</v>
      </c>
    </row>
    <row r="8" spans="1:12" ht="25" thickBot="1" x14ac:dyDescent="0.35">
      <c r="A8" s="6"/>
      <c r="B8" s="11"/>
      <c r="C8" s="12"/>
      <c r="D8" s="12"/>
      <c r="E8" s="12"/>
    </row>
    <row r="9" spans="1:12" s="9" customFormat="1" ht="25" thickBot="1" x14ac:dyDescent="0.35">
      <c r="A9" s="10" t="s">
        <v>10</v>
      </c>
      <c r="B9" s="13"/>
      <c r="C9" s="14">
        <f>$B$2*C2+$B$3*C3+$B$4*C4+$B$5*C5+$B$6*C6+$B$7*C7</f>
        <v>5.2750000000000004</v>
      </c>
      <c r="D9" s="14">
        <f t="shared" ref="D9:E9" si="0">$B$2*D2+$B$3*D3+$B$4*D4+$B$5*D5+$B$6*D6+$B$7*D7</f>
        <v>5.8750000000000009</v>
      </c>
      <c r="E9" s="14">
        <f t="shared" si="0"/>
        <v>5.7499999999999991</v>
      </c>
      <c r="F9" s="14">
        <f t="shared" ref="F9:L9" si="1">$B$2*F2+$B$3*F3+$B$4*F4+$B$5*F5+$B$6*F6+$B$7*F7</f>
        <v>4.8499999999999996</v>
      </c>
      <c r="G9" s="14">
        <f t="shared" si="1"/>
        <v>5.6999999999999993</v>
      </c>
      <c r="H9" s="14">
        <f t="shared" si="1"/>
        <v>5.2375000000000007</v>
      </c>
      <c r="I9" s="14">
        <f t="shared" si="1"/>
        <v>5.0750000000000002</v>
      </c>
      <c r="J9" s="14">
        <f t="shared" si="1"/>
        <v>5.4625000000000004</v>
      </c>
      <c r="K9" s="14">
        <f t="shared" si="1"/>
        <v>5.4125000000000014</v>
      </c>
      <c r="L9" s="14">
        <f t="shared" si="1"/>
        <v>5.3000000000000007</v>
      </c>
    </row>
    <row r="10" spans="1:12" s="9" customFormat="1" ht="25" thickBot="1" x14ac:dyDescent="0.35">
      <c r="A10" s="10" t="s">
        <v>13</v>
      </c>
      <c r="B10" s="13"/>
      <c r="C10" s="14">
        <f>MROUND(C9,0.25)</f>
        <v>5.25</v>
      </c>
      <c r="D10" s="14">
        <f t="shared" ref="D10:E10" si="2">MROUND(D9,0.25)</f>
        <v>6</v>
      </c>
      <c r="E10" s="14">
        <f t="shared" si="2"/>
        <v>5.75</v>
      </c>
      <c r="F10" s="14">
        <f t="shared" ref="F10:L10" si="3">MROUND(F9,0.25)</f>
        <v>4.75</v>
      </c>
      <c r="G10" s="14">
        <f t="shared" si="3"/>
        <v>5.75</v>
      </c>
      <c r="H10" s="14">
        <f t="shared" si="3"/>
        <v>5.25</v>
      </c>
      <c r="I10" s="14">
        <f t="shared" si="3"/>
        <v>5</v>
      </c>
      <c r="J10" s="14">
        <f t="shared" si="3"/>
        <v>5.5</v>
      </c>
      <c r="K10" s="14">
        <f t="shared" si="3"/>
        <v>5.5</v>
      </c>
      <c r="L10" s="14">
        <f t="shared" si="3"/>
        <v>5.25</v>
      </c>
    </row>
    <row r="11" spans="1:12" x14ac:dyDescent="0.3">
      <c r="A11" s="7" t="s">
        <v>12</v>
      </c>
    </row>
    <row r="17" spans="1:1" x14ac:dyDescent="0.3">
      <c r="A17" s="5"/>
    </row>
    <row r="18" spans="1:1" x14ac:dyDescent="0.3">
      <c r="A18" s="5"/>
    </row>
    <row r="19" spans="1:1" x14ac:dyDescent="0.3">
      <c r="A19" s="5"/>
    </row>
    <row r="20" spans="1:1" x14ac:dyDescent="0.3">
      <c r="A20" s="5"/>
    </row>
    <row r="21" spans="1:1" x14ac:dyDescent="0.3">
      <c r="A21" s="5"/>
    </row>
    <row r="22" spans="1:1" x14ac:dyDescent="0.3">
      <c r="A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project1</vt:lpstr>
      <vt:lpstr>project2</vt:lpstr>
      <vt:lpstr>project3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Burzio</dc:creator>
  <cp:lastModifiedBy>Stefano Burzio</cp:lastModifiedBy>
  <dcterms:created xsi:type="dcterms:W3CDTF">2025-03-27T08:32:02Z</dcterms:created>
  <dcterms:modified xsi:type="dcterms:W3CDTF">2026-01-20T16:34:00Z</dcterms:modified>
</cp:coreProperties>
</file>