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urzio/Documents/EPFL/Genie mecanique/ME-473 - Dynamic finite element analysis of structures/Exam/"/>
    </mc:Choice>
  </mc:AlternateContent>
  <xr:revisionPtr revIDLastSave="0" documentId="13_ncr:1_{542361FB-420E-2B4E-9A18-B1F5AE524BE1}" xr6:coauthVersionLast="47" xr6:coauthVersionMax="47" xr10:uidLastSave="{00000000-0000-0000-0000-000000000000}"/>
  <bookViews>
    <workbookView xWindow="-48520" yWindow="500" windowWidth="45160" windowHeight="26820" xr2:uid="{FCA28262-51CD-4D24-908F-292196043F60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9" i="1" l="1"/>
  <c r="U20" i="1"/>
  <c r="U21" i="1"/>
  <c r="U5" i="1"/>
  <c r="J17" i="1"/>
  <c r="J16" i="1"/>
  <c r="J15" i="1"/>
  <c r="J14" i="1"/>
  <c r="R4" i="1"/>
  <c r="R5" i="1"/>
  <c r="R6" i="1"/>
  <c r="R7" i="1"/>
  <c r="R9" i="1"/>
  <c r="R10" i="1"/>
  <c r="R11" i="1"/>
  <c r="R12" i="1"/>
  <c r="R13" i="1"/>
  <c r="R14" i="1"/>
  <c r="R15" i="1"/>
  <c r="R16" i="1"/>
  <c r="R17" i="1"/>
  <c r="J4" i="1"/>
  <c r="J5" i="1"/>
  <c r="J6" i="1"/>
  <c r="J7" i="1"/>
  <c r="J9" i="1"/>
  <c r="J10" i="1"/>
  <c r="J11" i="1"/>
  <c r="J12" i="1"/>
  <c r="J13" i="1"/>
  <c r="J3" i="1"/>
  <c r="R3" i="1"/>
  <c r="S8" i="1"/>
  <c r="T8" i="1" s="1"/>
  <c r="R21" i="1" l="1"/>
  <c r="R20" i="1"/>
  <c r="J20" i="1"/>
  <c r="S11" i="1"/>
  <c r="T11" i="1" s="1"/>
  <c r="U11" i="1" s="1"/>
  <c r="J21" i="1"/>
  <c r="J19" i="1"/>
  <c r="R19" i="1"/>
  <c r="S10" i="1"/>
  <c r="T10" i="1" s="1"/>
  <c r="U10" i="1" s="1"/>
  <c r="S9" i="1"/>
  <c r="T9" i="1" s="1"/>
  <c r="U9" i="1" s="1"/>
  <c r="S6" i="1"/>
  <c r="T6" i="1" s="1"/>
  <c r="U6" i="1" s="1"/>
  <c r="S7" i="1"/>
  <c r="T7" i="1" s="1"/>
  <c r="U7" i="1" s="1"/>
  <c r="S5" i="1"/>
  <c r="T5" i="1" s="1"/>
  <c r="S17" i="1"/>
  <c r="T17" i="1" s="1"/>
  <c r="U17" i="1" s="1"/>
  <c r="S16" i="1"/>
  <c r="T16" i="1" s="1"/>
  <c r="U16" i="1" s="1"/>
  <c r="S15" i="1"/>
  <c r="T15" i="1" s="1"/>
  <c r="U15" i="1" s="1"/>
  <c r="S14" i="1"/>
  <c r="T14" i="1" s="1"/>
  <c r="U14" i="1" s="1"/>
  <c r="S13" i="1"/>
  <c r="T13" i="1" s="1"/>
  <c r="U13" i="1" s="1"/>
  <c r="S12" i="1"/>
  <c r="T12" i="1" s="1"/>
  <c r="U12" i="1" s="1"/>
  <c r="S4" i="1"/>
  <c r="T4" i="1" s="1"/>
  <c r="U4" i="1" s="1"/>
  <c r="S3" i="1"/>
  <c r="S19" i="1" l="1"/>
  <c r="S21" i="1"/>
  <c r="S20" i="1"/>
  <c r="T3" i="1"/>
  <c r="U3" i="1" s="1"/>
</calcChain>
</file>

<file path=xl/sharedStrings.xml><?xml version="1.0" encoding="utf-8"?>
<sst xmlns="http://schemas.openxmlformats.org/spreadsheetml/2006/main" count="40" uniqueCount="23">
  <si>
    <t>Problem 1</t>
  </si>
  <si>
    <t>total</t>
  </si>
  <si>
    <t>Problem 2</t>
  </si>
  <si>
    <t>Canoen Louis Gilles</t>
  </si>
  <si>
    <t>Cazzulani Federico</t>
  </si>
  <si>
    <t>Charmillot Killian</t>
  </si>
  <si>
    <t>Gerber Gaël Johann</t>
  </si>
  <si>
    <t>Grétillat Pierre René Charles</t>
  </si>
  <si>
    <t>Guignard Tristan Noé</t>
  </si>
  <si>
    <t>Hecht-Nielsen Emil Fossdahl</t>
  </si>
  <si>
    <t>Javary Raphaël Jean-Léon</t>
  </si>
  <si>
    <t>Jroundi Aya</t>
  </si>
  <si>
    <t>Knobloch Robert Jan Paul</t>
  </si>
  <si>
    <t>Lecroart Adam Neale Antonin</t>
  </si>
  <si>
    <t>Maitrot Adrien Gérard Jacky</t>
  </si>
  <si>
    <t>Mitric Marko</t>
  </si>
  <si>
    <t>Plumb Olivia Mary</t>
  </si>
  <si>
    <t>Soulier Hippolyte Benjamin Louis</t>
  </si>
  <si>
    <t>Moyenne</t>
  </si>
  <si>
    <t>Ecart Type</t>
  </si>
  <si>
    <t>Medianne</t>
  </si>
  <si>
    <t>Note finale</t>
  </si>
  <si>
    <t>Note finale arrondie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</si>
</sst>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wrapText="1"/>
    </xf>
    <xf numFmtId="0" fontId="3" fillId="0" borderId="0" xfId="0" applyFont="1" applyAlignment="1">
      <alignment wrapText="1"/>
    </xf>
    <xf numFmtId="0" fontId="2" fillId="0" borderId="10" xfId="0" applyFont="1" applyBorder="1"/>
    <xf numFmtId="0" fontId="2" fillId="0" borderId="0" xfId="0" applyFont="1"/>
    <xf numFmtId="0" fontId="4" fillId="0" borderId="9" xfId="0" applyFont="1" applyBorder="1" applyAlignment="1">
      <alignment wrapText="1"/>
    </xf>
    <xf numFmtId="0" fontId="1" fillId="0" borderId="0" xfId="0" applyFont="1"/>
    <xf numFmtId="0" fontId="0" fillId="2" borderId="0" xfId="0" applyFill="1"/>
    <xf numFmtId="0" fontId="3" fillId="2" borderId="11" xfId="0" applyFont="1" applyFill="1" applyBorder="1" applyAlignment="1">
      <alignment wrapText="1"/>
    </xf>
    <xf numFmtId="0" fontId="3" fillId="2" borderId="0" xfId="0" applyFont="1" applyFill="1" applyAlignment="1">
      <alignment wrapText="1"/>
    </xf>
    <xf numFmtId="164" fontId="0" fillId="0" borderId="0" xfId="0" applyNumberFormat="1"/>
    <xf numFmtId="2" fontId="0" fillId="0" borderId="0" xfId="0" applyNumberForma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3" borderId="0" xfId="0" applyFill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527D-AF2E-4211-A0FF-32F32079CD43}">
  <dimension ref="A1:V21"/>
  <sheetViews>
    <sheetView tabSelected="1" zoomScale="140" zoomScaleNormal="140" workbookViewId="0">
      <selection activeCell="U20" sqref="U20"/>
    </sheetView>
  </sheetViews>
  <sheetFormatPr baseColWidth="10" defaultRowHeight="15" x14ac:dyDescent="0.2"/>
  <cols>
    <col min="1" max="1" width="3.1640625" bestFit="1" customWidth="1"/>
    <col min="2" max="2" width="27" customWidth="1"/>
    <col min="3" max="3" width="9.33203125" customWidth="1"/>
    <col min="4" max="19" width="6.6640625" customWidth="1"/>
    <col min="20" max="20" width="10.1640625" customWidth="1"/>
    <col min="21" max="21" width="19.6640625" customWidth="1"/>
    <col min="22" max="22" width="46.5" customWidth="1"/>
  </cols>
  <sheetData>
    <row r="1" spans="1:22" x14ac:dyDescent="0.2">
      <c r="D1" s="18" t="s">
        <v>0</v>
      </c>
      <c r="E1" s="19"/>
      <c r="F1" s="19"/>
      <c r="G1" s="19"/>
      <c r="H1" s="19"/>
      <c r="I1" s="20"/>
      <c r="J1" s="1" t="s">
        <v>1</v>
      </c>
      <c r="K1" s="18" t="s">
        <v>2</v>
      </c>
      <c r="L1" s="19"/>
      <c r="M1" s="19"/>
      <c r="N1" s="19"/>
      <c r="O1" s="19"/>
      <c r="P1" s="19"/>
      <c r="Q1" s="20"/>
      <c r="R1" s="1" t="s">
        <v>1</v>
      </c>
      <c r="S1" s="5" t="s">
        <v>1</v>
      </c>
      <c r="T1" s="9" t="s">
        <v>21</v>
      </c>
      <c r="U1" s="9" t="s">
        <v>22</v>
      </c>
    </row>
    <row r="2" spans="1:22" ht="16" thickBot="1" x14ac:dyDescent="0.25">
      <c r="D2" s="2">
        <v>2</v>
      </c>
      <c r="E2" s="3">
        <v>6</v>
      </c>
      <c r="F2" s="3">
        <v>6</v>
      </c>
      <c r="G2" s="3">
        <v>2</v>
      </c>
      <c r="H2" s="3">
        <v>6</v>
      </c>
      <c r="I2" s="4">
        <v>3</v>
      </c>
      <c r="J2" s="4">
        <v>25</v>
      </c>
      <c r="K2" s="2">
        <v>6</v>
      </c>
      <c r="L2" s="3">
        <v>3</v>
      </c>
      <c r="M2" s="3">
        <v>2</v>
      </c>
      <c r="N2" s="3">
        <v>4</v>
      </c>
      <c r="O2" s="3">
        <v>4</v>
      </c>
      <c r="P2" s="3">
        <v>4</v>
      </c>
      <c r="Q2" s="4">
        <v>2</v>
      </c>
      <c r="R2" s="4">
        <v>25</v>
      </c>
      <c r="S2" s="6">
        <v>50</v>
      </c>
      <c r="T2" s="10">
        <v>6</v>
      </c>
      <c r="U2" s="21"/>
    </row>
    <row r="3" spans="1:22" ht="16" x14ac:dyDescent="0.2">
      <c r="A3" s="7">
        <v>1</v>
      </c>
      <c r="B3" s="7" t="s">
        <v>3</v>
      </c>
      <c r="C3" s="7">
        <v>312526</v>
      </c>
      <c r="D3" s="13">
        <v>2</v>
      </c>
      <c r="E3" s="14">
        <v>0</v>
      </c>
      <c r="F3" s="14">
        <v>4</v>
      </c>
      <c r="G3" s="14">
        <v>1.5</v>
      </c>
      <c r="H3" s="14">
        <v>5</v>
      </c>
      <c r="I3" s="14">
        <v>3</v>
      </c>
      <c r="J3">
        <f>SUM(D3:I3)</f>
        <v>15.5</v>
      </c>
      <c r="K3" s="15">
        <v>5</v>
      </c>
      <c r="L3" s="15">
        <v>2.5</v>
      </c>
      <c r="M3" s="15">
        <v>2</v>
      </c>
      <c r="N3" s="15">
        <v>0</v>
      </c>
      <c r="O3" s="15">
        <v>0</v>
      </c>
      <c r="P3" s="15">
        <v>0</v>
      </c>
      <c r="Q3" s="15">
        <v>2</v>
      </c>
      <c r="R3">
        <f>SUM(K3:Q3)</f>
        <v>11.5</v>
      </c>
      <c r="S3">
        <f>J3+R3</f>
        <v>27</v>
      </c>
      <c r="T3">
        <f t="shared" ref="T3:T15" si="0">1+S3/50*5</f>
        <v>3.7</v>
      </c>
      <c r="U3" s="22">
        <f>MROUND(T3,0.25)</f>
        <v>3.75</v>
      </c>
      <c r="V3" s="7" t="s">
        <v>3</v>
      </c>
    </row>
    <row r="4" spans="1:22" ht="16" x14ac:dyDescent="0.2">
      <c r="A4" s="7">
        <v>2</v>
      </c>
      <c r="B4" s="7" t="s">
        <v>4</v>
      </c>
      <c r="C4" s="7">
        <v>386924</v>
      </c>
      <c r="D4" s="13">
        <v>2</v>
      </c>
      <c r="E4" s="14">
        <v>6</v>
      </c>
      <c r="F4" s="14">
        <v>6</v>
      </c>
      <c r="G4" s="14">
        <v>2</v>
      </c>
      <c r="H4" s="14">
        <v>6</v>
      </c>
      <c r="I4" s="14">
        <v>3</v>
      </c>
      <c r="J4">
        <f t="shared" ref="J4:J17" si="1">SUM(D4:I4)</f>
        <v>25</v>
      </c>
      <c r="K4" s="15">
        <v>6</v>
      </c>
      <c r="L4" s="15">
        <v>3</v>
      </c>
      <c r="M4" s="15">
        <v>2</v>
      </c>
      <c r="N4" s="15">
        <v>2</v>
      </c>
      <c r="O4" s="15">
        <v>4</v>
      </c>
      <c r="P4" s="15">
        <v>2</v>
      </c>
      <c r="Q4" s="15">
        <v>2</v>
      </c>
      <c r="R4">
        <f t="shared" ref="R4:R17" si="2">SUM(K4:Q4)</f>
        <v>21</v>
      </c>
      <c r="S4">
        <f t="shared" ref="S4:S17" si="3">J4+R4</f>
        <v>46</v>
      </c>
      <c r="T4">
        <f t="shared" si="0"/>
        <v>5.6000000000000005</v>
      </c>
      <c r="U4" s="22">
        <f t="shared" ref="U4:U17" si="4">MROUND(T4,0.25)</f>
        <v>5.5</v>
      </c>
      <c r="V4" s="7" t="s">
        <v>4</v>
      </c>
    </row>
    <row r="5" spans="1:22" ht="16" x14ac:dyDescent="0.2">
      <c r="A5" s="7">
        <v>3</v>
      </c>
      <c r="B5" s="7" t="s">
        <v>5</v>
      </c>
      <c r="C5" s="7">
        <v>339817</v>
      </c>
      <c r="D5" s="13">
        <v>2</v>
      </c>
      <c r="E5" s="14">
        <v>6</v>
      </c>
      <c r="F5" s="14">
        <v>1</v>
      </c>
      <c r="G5" s="14">
        <v>1</v>
      </c>
      <c r="H5" s="14">
        <v>5</v>
      </c>
      <c r="I5" s="14">
        <v>0</v>
      </c>
      <c r="J5">
        <f t="shared" si="1"/>
        <v>15</v>
      </c>
      <c r="K5" s="15">
        <v>5</v>
      </c>
      <c r="L5" s="15">
        <v>1</v>
      </c>
      <c r="M5" s="15">
        <v>2</v>
      </c>
      <c r="N5" s="15">
        <v>1</v>
      </c>
      <c r="O5" s="15">
        <v>0</v>
      </c>
      <c r="P5" s="15">
        <v>0</v>
      </c>
      <c r="Q5" s="15">
        <v>0</v>
      </c>
      <c r="R5">
        <f t="shared" si="2"/>
        <v>9</v>
      </c>
      <c r="S5">
        <f t="shared" si="3"/>
        <v>24</v>
      </c>
      <c r="T5">
        <f t="shared" si="0"/>
        <v>3.4</v>
      </c>
      <c r="U5" s="22">
        <f>MROUND(T5,0.25)</f>
        <v>3.5</v>
      </c>
      <c r="V5" s="7" t="s">
        <v>5</v>
      </c>
    </row>
    <row r="6" spans="1:22" ht="16" x14ac:dyDescent="0.2">
      <c r="A6" s="7">
        <v>4</v>
      </c>
      <c r="B6" s="7" t="s">
        <v>6</v>
      </c>
      <c r="C6" s="7">
        <v>301666</v>
      </c>
      <c r="D6" s="13">
        <v>2</v>
      </c>
      <c r="E6" s="15">
        <v>3.5</v>
      </c>
      <c r="F6" s="15">
        <v>4</v>
      </c>
      <c r="G6" s="15">
        <v>2</v>
      </c>
      <c r="H6" s="15">
        <v>6</v>
      </c>
      <c r="I6" s="15">
        <v>3</v>
      </c>
      <c r="J6">
        <f t="shared" si="1"/>
        <v>20.5</v>
      </c>
      <c r="K6" s="15">
        <v>5.5</v>
      </c>
      <c r="L6" s="15">
        <v>3</v>
      </c>
      <c r="M6" s="15">
        <v>2</v>
      </c>
      <c r="N6" s="15">
        <v>2</v>
      </c>
      <c r="O6" s="15">
        <v>2</v>
      </c>
      <c r="P6" s="15">
        <v>2</v>
      </c>
      <c r="Q6" s="15">
        <v>2</v>
      </c>
      <c r="R6">
        <f t="shared" si="2"/>
        <v>18.5</v>
      </c>
      <c r="S6">
        <f t="shared" si="3"/>
        <v>39</v>
      </c>
      <c r="T6">
        <f t="shared" si="0"/>
        <v>4.9000000000000004</v>
      </c>
      <c r="U6" s="22">
        <f t="shared" si="4"/>
        <v>5</v>
      </c>
      <c r="V6" s="7" t="s">
        <v>6</v>
      </c>
    </row>
    <row r="7" spans="1:22" ht="16" x14ac:dyDescent="0.2">
      <c r="A7" s="7">
        <v>5</v>
      </c>
      <c r="B7" s="7" t="s">
        <v>7</v>
      </c>
      <c r="C7" s="7">
        <v>313310</v>
      </c>
      <c r="D7" s="13">
        <v>2</v>
      </c>
      <c r="E7" s="15">
        <v>0</v>
      </c>
      <c r="F7" s="15">
        <v>5</v>
      </c>
      <c r="G7" s="15">
        <v>2</v>
      </c>
      <c r="H7" s="15">
        <v>5</v>
      </c>
      <c r="I7" s="15">
        <v>2</v>
      </c>
      <c r="J7">
        <f t="shared" si="1"/>
        <v>16</v>
      </c>
      <c r="K7" s="15">
        <v>1</v>
      </c>
      <c r="L7" s="15">
        <v>3</v>
      </c>
      <c r="M7" s="15">
        <v>0</v>
      </c>
      <c r="N7" s="15">
        <v>1</v>
      </c>
      <c r="O7" s="15">
        <v>1</v>
      </c>
      <c r="P7" s="15">
        <v>1</v>
      </c>
      <c r="Q7" s="15">
        <v>2</v>
      </c>
      <c r="R7">
        <f t="shared" si="2"/>
        <v>9</v>
      </c>
      <c r="S7">
        <f t="shared" si="3"/>
        <v>25</v>
      </c>
      <c r="T7">
        <f t="shared" si="0"/>
        <v>3.5</v>
      </c>
      <c r="U7" s="22">
        <f t="shared" si="4"/>
        <v>3.5</v>
      </c>
      <c r="V7" s="7" t="s">
        <v>7</v>
      </c>
    </row>
    <row r="8" spans="1:22" ht="16" x14ac:dyDescent="0.2">
      <c r="A8" s="11">
        <v>6</v>
      </c>
      <c r="B8" s="11" t="s">
        <v>8</v>
      </c>
      <c r="C8" s="11">
        <v>302010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>
        <f>J8+R8</f>
        <v>0</v>
      </c>
      <c r="T8" s="12">
        <f>1+S8/50*5</f>
        <v>1</v>
      </c>
      <c r="U8" s="21"/>
      <c r="V8" s="11" t="s">
        <v>8</v>
      </c>
    </row>
    <row r="9" spans="1:22" ht="16" x14ac:dyDescent="0.2">
      <c r="A9" s="7">
        <v>7</v>
      </c>
      <c r="B9" s="7" t="s">
        <v>9</v>
      </c>
      <c r="C9" s="7">
        <v>403992</v>
      </c>
      <c r="D9" s="13">
        <v>2</v>
      </c>
      <c r="E9" s="15">
        <v>6</v>
      </c>
      <c r="F9" s="15">
        <v>5.5</v>
      </c>
      <c r="G9" s="15">
        <v>2</v>
      </c>
      <c r="H9" s="15">
        <v>3.5</v>
      </c>
      <c r="I9" s="15">
        <v>3</v>
      </c>
      <c r="J9">
        <f t="shared" si="1"/>
        <v>22</v>
      </c>
      <c r="K9" s="15">
        <v>3</v>
      </c>
      <c r="L9" s="15">
        <v>0</v>
      </c>
      <c r="M9" s="15">
        <v>2</v>
      </c>
      <c r="N9" s="15">
        <v>0</v>
      </c>
      <c r="O9" s="15">
        <v>4</v>
      </c>
      <c r="P9" s="15">
        <v>1</v>
      </c>
      <c r="Q9" s="15">
        <v>2</v>
      </c>
      <c r="R9">
        <f t="shared" si="2"/>
        <v>12</v>
      </c>
      <c r="S9">
        <f t="shared" si="3"/>
        <v>34</v>
      </c>
      <c r="T9">
        <f t="shared" si="0"/>
        <v>4.4000000000000004</v>
      </c>
      <c r="U9" s="22">
        <f t="shared" si="4"/>
        <v>4.5</v>
      </c>
      <c r="V9" s="7" t="s">
        <v>9</v>
      </c>
    </row>
    <row r="10" spans="1:22" ht="16" x14ac:dyDescent="0.2">
      <c r="A10" s="7">
        <v>8</v>
      </c>
      <c r="B10" s="7" t="s">
        <v>10</v>
      </c>
      <c r="C10" s="7">
        <v>342263</v>
      </c>
      <c r="D10" s="13">
        <v>2</v>
      </c>
      <c r="E10" s="15">
        <v>6</v>
      </c>
      <c r="F10" s="15">
        <v>6</v>
      </c>
      <c r="G10" s="15">
        <v>2</v>
      </c>
      <c r="H10" s="15">
        <v>6</v>
      </c>
      <c r="I10" s="15">
        <v>3</v>
      </c>
      <c r="J10">
        <f t="shared" si="1"/>
        <v>25</v>
      </c>
      <c r="K10" s="15">
        <v>6</v>
      </c>
      <c r="L10" s="15">
        <v>3</v>
      </c>
      <c r="M10" s="15">
        <v>2</v>
      </c>
      <c r="N10" s="15">
        <v>4</v>
      </c>
      <c r="O10" s="15">
        <v>4</v>
      </c>
      <c r="P10" s="15">
        <v>2</v>
      </c>
      <c r="Q10" s="15">
        <v>2</v>
      </c>
      <c r="R10">
        <f t="shared" si="2"/>
        <v>23</v>
      </c>
      <c r="S10">
        <f t="shared" si="3"/>
        <v>48</v>
      </c>
      <c r="T10">
        <f t="shared" si="0"/>
        <v>5.8</v>
      </c>
      <c r="U10" s="22">
        <f t="shared" si="4"/>
        <v>5.75</v>
      </c>
      <c r="V10" s="7" t="s">
        <v>10</v>
      </c>
    </row>
    <row r="11" spans="1:22" ht="16" x14ac:dyDescent="0.2">
      <c r="A11" s="7">
        <v>9</v>
      </c>
      <c r="B11" s="7" t="s">
        <v>11</v>
      </c>
      <c r="C11" s="7">
        <v>341943</v>
      </c>
      <c r="D11" s="13">
        <v>2</v>
      </c>
      <c r="E11" s="15">
        <v>6</v>
      </c>
      <c r="F11" s="15">
        <v>3</v>
      </c>
      <c r="G11" s="15">
        <v>1</v>
      </c>
      <c r="H11" s="15">
        <v>1</v>
      </c>
      <c r="I11" s="15">
        <v>0</v>
      </c>
      <c r="J11">
        <f t="shared" si="1"/>
        <v>13</v>
      </c>
      <c r="K11" s="15">
        <v>1</v>
      </c>
      <c r="L11" s="15">
        <v>3</v>
      </c>
      <c r="M11" s="15">
        <v>0</v>
      </c>
      <c r="N11" s="15">
        <v>1</v>
      </c>
      <c r="O11" s="15">
        <v>1</v>
      </c>
      <c r="P11" s="15">
        <v>1</v>
      </c>
      <c r="Q11" s="15">
        <v>1</v>
      </c>
      <c r="R11">
        <f t="shared" si="2"/>
        <v>8</v>
      </c>
      <c r="S11">
        <f t="shared" si="3"/>
        <v>21</v>
      </c>
      <c r="T11">
        <f t="shared" si="0"/>
        <v>3.1</v>
      </c>
      <c r="U11" s="22">
        <f t="shared" si="4"/>
        <v>3</v>
      </c>
      <c r="V11" s="7" t="s">
        <v>11</v>
      </c>
    </row>
    <row r="12" spans="1:22" ht="16" x14ac:dyDescent="0.2">
      <c r="A12" s="7">
        <v>10</v>
      </c>
      <c r="B12" s="7" t="s">
        <v>12</v>
      </c>
      <c r="C12" s="7">
        <v>404031</v>
      </c>
      <c r="D12" s="13">
        <v>2</v>
      </c>
      <c r="E12" s="15">
        <v>5</v>
      </c>
      <c r="F12" s="15">
        <v>6</v>
      </c>
      <c r="G12" s="15">
        <v>1</v>
      </c>
      <c r="H12" s="15">
        <v>0</v>
      </c>
      <c r="I12" s="15">
        <v>0</v>
      </c>
      <c r="J12">
        <f t="shared" si="1"/>
        <v>14</v>
      </c>
      <c r="K12" s="15">
        <v>5</v>
      </c>
      <c r="L12" s="15">
        <v>3</v>
      </c>
      <c r="M12" s="15">
        <v>2</v>
      </c>
      <c r="N12" s="15">
        <v>2.5</v>
      </c>
      <c r="O12" s="15">
        <v>4</v>
      </c>
      <c r="P12" s="15">
        <v>2</v>
      </c>
      <c r="Q12" s="15">
        <v>1</v>
      </c>
      <c r="R12">
        <f t="shared" si="2"/>
        <v>19.5</v>
      </c>
      <c r="S12">
        <f t="shared" si="3"/>
        <v>33.5</v>
      </c>
      <c r="T12">
        <f t="shared" si="0"/>
        <v>4.3499999999999996</v>
      </c>
      <c r="U12" s="22">
        <f t="shared" si="4"/>
        <v>4.25</v>
      </c>
      <c r="V12" s="7" t="s">
        <v>12</v>
      </c>
    </row>
    <row r="13" spans="1:22" ht="16" x14ac:dyDescent="0.2">
      <c r="A13" s="7">
        <v>11</v>
      </c>
      <c r="B13" s="7" t="s">
        <v>13</v>
      </c>
      <c r="C13" s="7">
        <v>345348</v>
      </c>
      <c r="D13" s="13">
        <v>2</v>
      </c>
      <c r="E13" s="15">
        <v>6</v>
      </c>
      <c r="F13" s="15">
        <v>5</v>
      </c>
      <c r="G13" s="15">
        <v>2</v>
      </c>
      <c r="H13" s="15">
        <v>5</v>
      </c>
      <c r="I13" s="15">
        <v>0</v>
      </c>
      <c r="J13">
        <f t="shared" si="1"/>
        <v>20</v>
      </c>
      <c r="K13" s="15">
        <v>5.5</v>
      </c>
      <c r="L13" s="15">
        <v>3</v>
      </c>
      <c r="M13" s="15">
        <v>2</v>
      </c>
      <c r="N13" s="15">
        <v>1</v>
      </c>
      <c r="O13" s="15">
        <v>1</v>
      </c>
      <c r="P13" s="15">
        <v>2</v>
      </c>
      <c r="Q13" s="15">
        <v>0.5</v>
      </c>
      <c r="R13">
        <f t="shared" si="2"/>
        <v>15</v>
      </c>
      <c r="S13">
        <f t="shared" si="3"/>
        <v>35</v>
      </c>
      <c r="T13">
        <f t="shared" si="0"/>
        <v>4.5</v>
      </c>
      <c r="U13" s="22">
        <f t="shared" si="4"/>
        <v>4.5</v>
      </c>
      <c r="V13" s="7" t="s">
        <v>13</v>
      </c>
    </row>
    <row r="14" spans="1:22" ht="16" x14ac:dyDescent="0.2">
      <c r="A14" s="7">
        <v>12</v>
      </c>
      <c r="B14" s="7" t="s">
        <v>14</v>
      </c>
      <c r="C14" s="7">
        <v>299891</v>
      </c>
      <c r="D14" s="13">
        <v>1.5</v>
      </c>
      <c r="E14" s="15">
        <v>4.5</v>
      </c>
      <c r="F14" s="15">
        <v>3.5</v>
      </c>
      <c r="G14" s="15">
        <v>1</v>
      </c>
      <c r="H14" s="15">
        <v>1</v>
      </c>
      <c r="I14" s="15">
        <v>0</v>
      </c>
      <c r="J14">
        <f t="shared" si="1"/>
        <v>11.5</v>
      </c>
      <c r="K14" s="15">
        <v>0</v>
      </c>
      <c r="L14" s="15">
        <v>2.5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>
        <f t="shared" si="2"/>
        <v>2.5</v>
      </c>
      <c r="S14">
        <f t="shared" si="3"/>
        <v>14</v>
      </c>
      <c r="T14">
        <f t="shared" si="0"/>
        <v>2.4000000000000004</v>
      </c>
      <c r="U14" s="22">
        <f t="shared" si="4"/>
        <v>2.5</v>
      </c>
      <c r="V14" s="7" t="s">
        <v>14</v>
      </c>
    </row>
    <row r="15" spans="1:22" ht="16" x14ac:dyDescent="0.2">
      <c r="A15" s="7">
        <v>13</v>
      </c>
      <c r="B15" s="7" t="s">
        <v>15</v>
      </c>
      <c r="C15" s="7">
        <v>315718</v>
      </c>
      <c r="D15" s="13">
        <v>2</v>
      </c>
      <c r="E15" s="15">
        <v>6</v>
      </c>
      <c r="F15" s="15">
        <v>4</v>
      </c>
      <c r="G15" s="15">
        <v>2</v>
      </c>
      <c r="H15" s="15">
        <v>0</v>
      </c>
      <c r="I15" s="15">
        <v>3</v>
      </c>
      <c r="J15">
        <f t="shared" si="1"/>
        <v>17</v>
      </c>
      <c r="K15" s="15">
        <v>5</v>
      </c>
      <c r="L15" s="15">
        <v>1</v>
      </c>
      <c r="M15" s="15">
        <v>2</v>
      </c>
      <c r="N15" s="15">
        <v>0</v>
      </c>
      <c r="O15" s="15">
        <v>0</v>
      </c>
      <c r="P15" s="15">
        <v>0</v>
      </c>
      <c r="Q15" s="15">
        <v>0</v>
      </c>
      <c r="R15">
        <f t="shared" si="2"/>
        <v>8</v>
      </c>
      <c r="S15">
        <f t="shared" si="3"/>
        <v>25</v>
      </c>
      <c r="T15">
        <f t="shared" si="0"/>
        <v>3.5</v>
      </c>
      <c r="U15" s="22">
        <f t="shared" si="4"/>
        <v>3.5</v>
      </c>
      <c r="V15" s="7" t="s">
        <v>15</v>
      </c>
    </row>
    <row r="16" spans="1:22" ht="16" x14ac:dyDescent="0.2">
      <c r="A16" s="7">
        <v>14</v>
      </c>
      <c r="B16" s="7" t="s">
        <v>16</v>
      </c>
      <c r="C16" s="7">
        <v>300139</v>
      </c>
      <c r="D16" s="13">
        <v>2</v>
      </c>
      <c r="E16" s="15">
        <v>6</v>
      </c>
      <c r="F16" s="15">
        <v>4.5</v>
      </c>
      <c r="G16" s="15">
        <v>2</v>
      </c>
      <c r="H16" s="14">
        <v>5</v>
      </c>
      <c r="I16" s="15">
        <v>1</v>
      </c>
      <c r="J16">
        <f t="shared" si="1"/>
        <v>20.5</v>
      </c>
      <c r="K16" s="15">
        <v>5</v>
      </c>
      <c r="L16" s="15">
        <v>3</v>
      </c>
      <c r="M16" s="15">
        <v>2</v>
      </c>
      <c r="N16" s="15">
        <v>1</v>
      </c>
      <c r="O16" s="15">
        <v>4</v>
      </c>
      <c r="P16" s="15">
        <v>1</v>
      </c>
      <c r="Q16" s="15">
        <v>2</v>
      </c>
      <c r="R16">
        <f t="shared" si="2"/>
        <v>18</v>
      </c>
      <c r="S16">
        <f t="shared" si="3"/>
        <v>38.5</v>
      </c>
      <c r="T16">
        <f>1+S16/50*5</f>
        <v>4.8499999999999996</v>
      </c>
      <c r="U16" s="22">
        <f t="shared" si="4"/>
        <v>4.75</v>
      </c>
      <c r="V16" s="7" t="s">
        <v>16</v>
      </c>
    </row>
    <row r="17" spans="1:22" ht="16" x14ac:dyDescent="0.2">
      <c r="A17" s="7">
        <v>15</v>
      </c>
      <c r="B17" s="7" t="s">
        <v>17</v>
      </c>
      <c r="C17" s="7">
        <v>346179</v>
      </c>
      <c r="D17" s="13">
        <v>2</v>
      </c>
      <c r="E17" s="15">
        <v>6</v>
      </c>
      <c r="F17" s="15">
        <v>4</v>
      </c>
      <c r="G17" s="15">
        <v>1.5</v>
      </c>
      <c r="H17" s="13">
        <v>2</v>
      </c>
      <c r="I17" s="15">
        <v>0</v>
      </c>
      <c r="J17">
        <f t="shared" si="1"/>
        <v>15.5</v>
      </c>
      <c r="K17" s="15">
        <v>4</v>
      </c>
      <c r="L17" s="15">
        <v>3</v>
      </c>
      <c r="M17" s="15">
        <v>2</v>
      </c>
      <c r="N17" s="15">
        <v>0</v>
      </c>
      <c r="O17" s="15">
        <v>1</v>
      </c>
      <c r="P17" s="15">
        <v>1</v>
      </c>
      <c r="Q17" s="15">
        <v>1</v>
      </c>
      <c r="R17">
        <f t="shared" si="2"/>
        <v>12</v>
      </c>
      <c r="S17">
        <f t="shared" si="3"/>
        <v>27.5</v>
      </c>
      <c r="T17">
        <f>1+S17/50*5</f>
        <v>3.75</v>
      </c>
      <c r="U17" s="22">
        <f t="shared" si="4"/>
        <v>3.75</v>
      </c>
      <c r="V17" s="7" t="s">
        <v>17</v>
      </c>
    </row>
    <row r="19" spans="1:22" ht="16" x14ac:dyDescent="0.2">
      <c r="B19" s="8" t="s">
        <v>18</v>
      </c>
      <c r="J19">
        <f>AVERAGE(J3:J13)</f>
        <v>18.600000000000001</v>
      </c>
      <c r="R19">
        <f>AVERAGE(R3:R13)</f>
        <v>14.65</v>
      </c>
      <c r="S19">
        <f>AVERAGE(S3:S13)</f>
        <v>30.227272727272727</v>
      </c>
      <c r="T19" s="16"/>
      <c r="U19" s="16">
        <f>AVERAGE(U3:U13)</f>
        <v>4.3250000000000002</v>
      </c>
    </row>
    <row r="20" spans="1:22" ht="16" x14ac:dyDescent="0.2">
      <c r="B20" s="8" t="s">
        <v>19</v>
      </c>
      <c r="J20">
        <f>STDEV(J3:J13)</f>
        <v>4.4833023542919799</v>
      </c>
      <c r="R20">
        <f>STDEV(R3:R13)</f>
        <v>5.5128637446128375</v>
      </c>
      <c r="S20">
        <f>STDEV(S3:S13)</f>
        <v>13.284132708542993</v>
      </c>
      <c r="U20" s="17">
        <f>STDEV(U3:U13)</f>
        <v>0.90561519912647681</v>
      </c>
    </row>
    <row r="21" spans="1:22" ht="16" x14ac:dyDescent="0.2">
      <c r="B21" s="8" t="s">
        <v>20</v>
      </c>
      <c r="J21">
        <f>MEDIAN(J3:J13)</f>
        <v>18</v>
      </c>
      <c r="R21">
        <f>MEDIAN(R3:R13)</f>
        <v>13.5</v>
      </c>
      <c r="S21">
        <f>MEDIAN(S3:S13)</f>
        <v>33.5</v>
      </c>
      <c r="U21">
        <f>MEDIAN(U3:U13)</f>
        <v>4.375</v>
      </c>
    </row>
  </sheetData>
  <mergeCells count="2">
    <mergeCell ref="D1:I1"/>
    <mergeCell ref="K1:Q1"/>
  </mergeCells>
  <conditionalFormatting sqref="J2:J7 J9:J13">
    <cfRule type="colorScale" priority="8">
      <colorScale>
        <cfvo type="min"/>
        <cfvo type="percentile" val="50"/>
        <cfvo type="max"/>
        <color rgb="FFFF0000"/>
        <color theme="0"/>
        <color theme="9" tint="0.39997558519241921"/>
      </colorScale>
    </cfRule>
  </conditionalFormatting>
  <conditionalFormatting sqref="R2:R7 R9:R13">
    <cfRule type="colorScale" priority="7">
      <colorScale>
        <cfvo type="min"/>
        <cfvo type="percentile" val="50"/>
        <cfvo type="max"/>
        <color rgb="FFFF0000"/>
        <color theme="0"/>
        <color theme="9" tint="0.39997558519241921"/>
      </colorScale>
    </cfRule>
  </conditionalFormatting>
  <conditionalFormatting sqref="S2:S7 S9:S13">
    <cfRule type="colorScale" priority="9">
      <colorScale>
        <cfvo type="min"/>
        <cfvo type="percentile" val="50"/>
        <cfvo type="max"/>
        <color rgb="FFFF0000"/>
        <color theme="0"/>
        <color theme="9" tint="0.39997558519241921"/>
      </colorScale>
    </cfRule>
  </conditionalFormatting>
  <conditionalFormatting sqref="T2:T7 T9:T13">
    <cfRule type="colorScale" priority="6">
      <colorScale>
        <cfvo type="min"/>
        <cfvo type="percentile" val="50"/>
        <cfvo type="max"/>
        <color rgb="FFFF0000"/>
        <color theme="0"/>
        <color theme="9" tint="0.39997558519241921"/>
      </colorScale>
    </cfRule>
  </conditionalFormatting>
  <conditionalFormatting sqref="S3:S17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Timothéé Salamon</dc:creator>
  <cp:lastModifiedBy>Stefano Burzio</cp:lastModifiedBy>
  <dcterms:created xsi:type="dcterms:W3CDTF">2025-06-26T08:43:40Z</dcterms:created>
  <dcterms:modified xsi:type="dcterms:W3CDTF">2025-07-07T14:13:58Z</dcterms:modified>
</cp:coreProperties>
</file>