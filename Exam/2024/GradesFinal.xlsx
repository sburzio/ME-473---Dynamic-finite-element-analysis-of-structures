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rzio/Documents/EPFL/Genie mecanique/ME-473 - Dynamic finite element analysis of structures/Exam/"/>
    </mc:Choice>
  </mc:AlternateContent>
  <xr:revisionPtr revIDLastSave="0" documentId="13_ncr:1_{AD552FDB-02CD-C145-9FD3-1F7E3437C6D5}" xr6:coauthVersionLast="47" xr6:coauthVersionMax="47" xr10:uidLastSave="{00000000-0000-0000-0000-000000000000}"/>
  <bookViews>
    <workbookView xWindow="0" yWindow="760" windowWidth="34200" windowHeight="21380" xr2:uid="{571D87FF-0875-C743-8CA7-495BEF6BA785}"/>
  </bookViews>
  <sheets>
    <sheet name="Students" sheetId="2" r:id="rId1"/>
    <sheet name="project3" sheetId="6" r:id="rId2"/>
    <sheet name="project2" sheetId="3" r:id="rId3"/>
    <sheet name="project1" sheetId="1" r:id="rId4"/>
  </sheets>
  <externalReferences>
    <externalReference r:id="rId5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2" l="1"/>
  <c r="D17" i="2" s="1"/>
  <c r="E16" i="2"/>
  <c r="D16" i="2" s="1"/>
  <c r="E15" i="2"/>
  <c r="D15" i="2" s="1"/>
  <c r="E14" i="2"/>
  <c r="D14" i="2" s="1"/>
  <c r="E13" i="2"/>
  <c r="D13" i="2" s="1"/>
  <c r="E12" i="2"/>
  <c r="D12" i="2" s="1"/>
  <c r="E11" i="2"/>
  <c r="D11" i="2" s="1"/>
  <c r="E10" i="2"/>
  <c r="D10" i="2" s="1"/>
  <c r="E9" i="2"/>
  <c r="D9" i="2" s="1"/>
  <c r="E7" i="2"/>
  <c r="D7" i="2" s="1"/>
  <c r="E6" i="2"/>
  <c r="D6" i="2" s="1"/>
  <c r="E5" i="2"/>
  <c r="D5" i="2" s="1"/>
  <c r="E4" i="2"/>
  <c r="D4" i="2" s="1"/>
  <c r="E2" i="2"/>
  <c r="D2" i="2" s="1"/>
  <c r="F9" i="6"/>
  <c r="F10" i="6" s="1"/>
  <c r="E9" i="6"/>
  <c r="E10" i="6" s="1"/>
  <c r="D9" i="6"/>
  <c r="D10" i="6" s="1"/>
  <c r="C9" i="6"/>
  <c r="C10" i="6" s="1"/>
  <c r="F9" i="3"/>
  <c r="F10" i="3" s="1"/>
  <c r="E9" i="3"/>
  <c r="E10" i="3" s="1"/>
  <c r="D9" i="3"/>
  <c r="D10" i="3" s="1"/>
  <c r="C9" i="3"/>
  <c r="C10" i="3" s="1"/>
  <c r="D10" i="1"/>
  <c r="E10" i="1"/>
  <c r="F10" i="1"/>
  <c r="C10" i="1"/>
  <c r="D9" i="1"/>
  <c r="E9" i="1"/>
  <c r="F9" i="1"/>
  <c r="C9" i="1"/>
  <c r="D21" i="2" l="1"/>
  <c r="D20" i="2"/>
  <c r="D19" i="2"/>
</calcChain>
</file>

<file path=xl/sharedStrings.xml><?xml version="1.0" encoding="utf-8"?>
<sst xmlns="http://schemas.openxmlformats.org/spreadsheetml/2006/main" count="114" uniqueCount="42">
  <si>
    <t>Evaluation Criteria</t>
  </si>
  <si>
    <t>Problem Definition and Objectives </t>
  </si>
  <si>
    <t>Methodology and Approach</t>
  </si>
  <si>
    <t>Coding and Simulation</t>
  </si>
  <si>
    <t>Weights</t>
  </si>
  <si>
    <t>Results and Analysis</t>
  </si>
  <si>
    <t>Report Structure and Presentation</t>
  </si>
  <si>
    <t>Innovation and Critical Thinking </t>
  </si>
  <si>
    <t>Group B</t>
  </si>
  <si>
    <t>Group C</t>
  </si>
  <si>
    <t>Group E</t>
  </si>
  <si>
    <t>Group F</t>
  </si>
  <si>
    <t>Final grade</t>
  </si>
  <si>
    <t>Canoen Louis Gilles</t>
  </si>
  <si>
    <t>Catala I Rams Arnau</t>
  </si>
  <si>
    <t>Cazzulani Federico</t>
  </si>
  <si>
    <t>Charmillot Killian</t>
  </si>
  <si>
    <t>Gerber Gaël Johann</t>
  </si>
  <si>
    <t>Grétillat Pierre René Charles</t>
  </si>
  <si>
    <t>Guignard Tristan Noé</t>
  </si>
  <si>
    <t>Hecht-Nielsen Emil Fossdahl</t>
  </si>
  <si>
    <t>Javary Raphaël Jean-Léon</t>
  </si>
  <si>
    <t>Jroundi Aya</t>
  </si>
  <si>
    <t>Knobloch Robert Jan Paul</t>
  </si>
  <si>
    <t>Lecroart Adam Neale Antonin</t>
  </si>
  <si>
    <t>Maitrot Adrien Gérard Jacky</t>
  </si>
  <si>
    <t>Mitric Marko</t>
  </si>
  <si>
    <t>Plumb Olivia Mary</t>
  </si>
  <si>
    <t>Soulier Hippolyte Benjamin Louis</t>
  </si>
  <si>
    <t>16/16</t>
  </si>
  <si>
    <t>Nom Prénom</t>
  </si>
  <si>
    <t>Sciper</t>
  </si>
  <si>
    <t>Students</t>
  </si>
  <si>
    <t>Caz+D4zulani Federico</t>
  </si>
  <si>
    <t xml:space="preserve">Final grade (rounded) </t>
  </si>
  <si>
    <t>Examen</t>
  </si>
  <si>
    <t>Project 1</t>
  </si>
  <si>
    <t>Project 2</t>
  </si>
  <si>
    <t>Project 3</t>
  </si>
  <si>
    <t>Mean</t>
  </si>
  <si>
    <t>Median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</si>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</sst>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rgb="FF000000"/>
      <name val="Calibri"/>
      <family val="2"/>
    </font>
    <font>
      <b/>
      <sz val="18"/>
      <color theme="1"/>
      <name val="Calibri"/>
      <family val="2"/>
    </font>
    <font>
      <b/>
      <sz val="18"/>
      <color theme="1"/>
      <name val="Aptos Narrow"/>
      <family val="2"/>
      <scheme val="minor"/>
    </font>
    <font>
      <sz val="18"/>
      <color rgb="FF000000"/>
      <name val="Calibri"/>
      <family val="2"/>
    </font>
    <font>
      <sz val="18"/>
      <color theme="1"/>
      <name val="Calibri"/>
      <family val="2"/>
    </font>
    <font>
      <sz val="18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/>
    <xf numFmtId="0" fontId="3" fillId="2" borderId="3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2" xfId="0" applyFont="1" applyBorder="1"/>
    <xf numFmtId="0" fontId="7" fillId="2" borderId="6" xfId="0" applyFont="1" applyFill="1" applyBorder="1"/>
    <xf numFmtId="0" fontId="5" fillId="2" borderId="4" xfId="0" applyFont="1" applyFill="1" applyBorder="1"/>
    <xf numFmtId="0" fontId="2" fillId="2" borderId="3" xfId="0" applyFont="1" applyFill="1" applyBorder="1"/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0" fillId="0" borderId="7" xfId="0" applyBorder="1" applyAlignment="1">
      <alignment wrapText="1"/>
    </xf>
    <xf numFmtId="0" fontId="1" fillId="0" borderId="7" xfId="0" applyFont="1" applyBorder="1" applyAlignment="1">
      <alignment horizontal="center" vertical="center" wrapText="1"/>
    </xf>
    <xf numFmtId="0" fontId="0" fillId="2" borderId="7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4" borderId="7" xfId="0" applyFill="1" applyBorder="1" applyAlignment="1">
      <alignment wrapText="1"/>
    </xf>
    <xf numFmtId="0" fontId="0" fillId="5" borderId="7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4" borderId="8" xfId="0" applyFill="1" applyBorder="1" applyAlignment="1">
      <alignment wrapText="1"/>
    </xf>
    <xf numFmtId="0" fontId="0" fillId="5" borderId="8" xfId="0" applyFill="1" applyBorder="1" applyAlignment="1">
      <alignment wrapText="1"/>
    </xf>
    <xf numFmtId="0" fontId="0" fillId="0" borderId="7" xfId="0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2" fontId="0" fillId="0" borderId="7" xfId="0" applyNumberFormat="1" applyBorder="1" applyAlignment="1">
      <alignment horizontal="center" wrapText="1"/>
    </xf>
    <xf numFmtId="0" fontId="0" fillId="6" borderId="0" xfId="0" applyFill="1" applyAlignment="1">
      <alignment wrapText="1"/>
    </xf>
    <xf numFmtId="0" fontId="0" fillId="6" borderId="0" xfId="0" applyFill="1"/>
    <xf numFmtId="2" fontId="0" fillId="6" borderId="0" xfId="0" applyNumberFormat="1" applyFill="1" applyAlignment="1">
      <alignment horizontal="center" vertical="top" wrapText="1"/>
    </xf>
    <xf numFmtId="2" fontId="0" fillId="6" borderId="0" xfId="0" applyNumberForma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urzio/Documents/EPFL/Genie%20mecanique/ME-473%20-%20Dynamic%20finite%20element%20analysis%20of%20structures/Exam/GradesExam.xlsx" TargetMode="External"/><Relationship Id="rId1" Type="http://schemas.openxmlformats.org/officeDocument/2006/relationships/externalLinkPath" Target="GradesEx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uil1"/>
    </sheetNames>
    <sheetDataSet>
      <sheetData sheetId="0">
        <row r="3">
          <cell r="U3">
            <v>3.75</v>
          </cell>
        </row>
        <row r="4">
          <cell r="U4">
            <v>5.5</v>
          </cell>
        </row>
        <row r="5">
          <cell r="U5">
            <v>3.5</v>
          </cell>
        </row>
        <row r="6">
          <cell r="U6">
            <v>5</v>
          </cell>
        </row>
        <row r="7">
          <cell r="U7">
            <v>3.5</v>
          </cell>
        </row>
        <row r="9">
          <cell r="U9">
            <v>4.5</v>
          </cell>
        </row>
        <row r="10">
          <cell r="U10">
            <v>5.75</v>
          </cell>
        </row>
        <row r="11">
          <cell r="U11">
            <v>3</v>
          </cell>
        </row>
        <row r="12">
          <cell r="U12">
            <v>4.25</v>
          </cell>
        </row>
        <row r="13">
          <cell r="U13">
            <v>4.5</v>
          </cell>
        </row>
        <row r="14">
          <cell r="U14">
            <v>2.5</v>
          </cell>
        </row>
        <row r="15">
          <cell r="U15">
            <v>3.5</v>
          </cell>
        </row>
        <row r="16">
          <cell r="U16">
            <v>4.75</v>
          </cell>
        </row>
        <row r="17">
          <cell r="U17">
            <v>3.75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9801A-BCBE-CB4A-BDE9-1ADA46647807}">
  <dimension ref="A1:H21"/>
  <sheetViews>
    <sheetView tabSelected="1" zoomScale="150" zoomScaleNormal="253" workbookViewId="0">
      <selection activeCell="D23" sqref="D23"/>
    </sheetView>
  </sheetViews>
  <sheetFormatPr baseColWidth="10" defaultRowHeight="16" x14ac:dyDescent="0.2"/>
  <cols>
    <col min="1" max="1" width="5.83203125" bestFit="1" customWidth="1"/>
    <col min="2" max="2" width="28" bestFit="1" customWidth="1"/>
    <col min="3" max="3" width="7.1640625" bestFit="1" customWidth="1"/>
    <col min="4" max="4" width="18.83203125" bestFit="1" customWidth="1"/>
    <col min="5" max="5" width="15" customWidth="1"/>
    <col min="6" max="6" width="11.83203125" customWidth="1"/>
    <col min="7" max="7" width="12.5" customWidth="1"/>
    <col min="8" max="8" width="14.1640625" customWidth="1"/>
  </cols>
  <sheetData>
    <row r="1" spans="1:8" ht="17" x14ac:dyDescent="0.2">
      <c r="A1" s="17" t="s">
        <v>29</v>
      </c>
      <c r="B1" s="17" t="s">
        <v>30</v>
      </c>
      <c r="C1" s="17" t="s">
        <v>31</v>
      </c>
      <c r="D1" s="17" t="s">
        <v>12</v>
      </c>
      <c r="E1" s="17" t="s">
        <v>35</v>
      </c>
      <c r="F1" s="17" t="s">
        <v>36</v>
      </c>
      <c r="G1" s="17" t="s">
        <v>37</v>
      </c>
      <c r="H1" s="17" t="s">
        <v>38</v>
      </c>
    </row>
    <row r="2" spans="1:8" ht="17" x14ac:dyDescent="0.2">
      <c r="A2" s="16">
        <v>1</v>
      </c>
      <c r="B2" s="18" t="s">
        <v>13</v>
      </c>
      <c r="C2" s="16">
        <v>312526</v>
      </c>
      <c r="D2" s="26">
        <f>MROUND(E2*0.5+F2*0.1+G2*0.15+H2*0.25,0.25)</f>
        <v>4.75</v>
      </c>
      <c r="E2" s="28">
        <f>[1]Feuil1!$U$3</f>
        <v>3.75</v>
      </c>
      <c r="F2" s="26">
        <v>5.5</v>
      </c>
      <c r="G2" s="26">
        <v>5.75</v>
      </c>
      <c r="H2" s="26">
        <v>5.5</v>
      </c>
    </row>
    <row r="3" spans="1:8" ht="17" x14ac:dyDescent="0.2">
      <c r="A3" s="16">
        <v>2</v>
      </c>
      <c r="B3" s="16" t="s">
        <v>14</v>
      </c>
      <c r="C3" s="16">
        <v>342369</v>
      </c>
      <c r="D3" s="26"/>
      <c r="E3" s="28"/>
      <c r="F3" s="26"/>
      <c r="G3" s="26"/>
      <c r="H3" s="26"/>
    </row>
    <row r="4" spans="1:8" ht="17" x14ac:dyDescent="0.2">
      <c r="A4" s="16">
        <v>3</v>
      </c>
      <c r="B4" s="19" t="s">
        <v>15</v>
      </c>
      <c r="C4" s="16">
        <v>386924</v>
      </c>
      <c r="D4" s="26">
        <f t="shared" ref="D4:D17" si="0">MROUND(E4*0.5+F4*0.1+G4*0.15+H4*0.25,0.25)</f>
        <v>5.5</v>
      </c>
      <c r="E4" s="28">
        <f>[1]Feuil1!$U$4</f>
        <v>5.5</v>
      </c>
      <c r="F4" s="26">
        <v>5</v>
      </c>
      <c r="G4" s="26">
        <v>5.75</v>
      </c>
      <c r="H4" s="26">
        <v>6</v>
      </c>
    </row>
    <row r="5" spans="1:8" ht="17" x14ac:dyDescent="0.2">
      <c r="A5" s="16">
        <v>4</v>
      </c>
      <c r="B5" s="19" t="s">
        <v>16</v>
      </c>
      <c r="C5" s="16">
        <v>339817</v>
      </c>
      <c r="D5" s="26">
        <f t="shared" si="0"/>
        <v>4.5</v>
      </c>
      <c r="E5" s="28">
        <f>[1]Feuil1!$U$5</f>
        <v>3.5</v>
      </c>
      <c r="F5" s="26">
        <v>5</v>
      </c>
      <c r="G5" s="26">
        <v>5.75</v>
      </c>
      <c r="H5" s="26">
        <v>6</v>
      </c>
    </row>
    <row r="6" spans="1:8" ht="17" x14ac:dyDescent="0.2">
      <c r="A6" s="16">
        <v>5</v>
      </c>
      <c r="B6" s="21" t="s">
        <v>17</v>
      </c>
      <c r="C6" s="16">
        <v>301666</v>
      </c>
      <c r="D6" s="26">
        <f t="shared" si="0"/>
        <v>5.25</v>
      </c>
      <c r="E6" s="28">
        <f>[1]Feuil1!$U$6</f>
        <v>5</v>
      </c>
      <c r="F6" s="26">
        <v>5.5</v>
      </c>
      <c r="G6" s="26">
        <v>5.75</v>
      </c>
      <c r="H6" s="26">
        <v>5.75</v>
      </c>
    </row>
    <row r="7" spans="1:8" ht="17" x14ac:dyDescent="0.2">
      <c r="A7" s="16">
        <v>6</v>
      </c>
      <c r="B7" s="18" t="s">
        <v>18</v>
      </c>
      <c r="C7" s="16">
        <v>313310</v>
      </c>
      <c r="D7" s="26">
        <f t="shared" si="0"/>
        <v>4.5</v>
      </c>
      <c r="E7" s="28">
        <f>[1]Feuil1!$U$7</f>
        <v>3.5</v>
      </c>
      <c r="F7" s="26">
        <v>5.5</v>
      </c>
      <c r="G7" s="26">
        <v>5.75</v>
      </c>
      <c r="H7" s="26">
        <v>5.5</v>
      </c>
    </row>
    <row r="8" spans="1:8" ht="17" x14ac:dyDescent="0.2">
      <c r="A8" s="16">
        <v>7</v>
      </c>
      <c r="B8" s="16" t="s">
        <v>19</v>
      </c>
      <c r="C8" s="16">
        <v>302010</v>
      </c>
      <c r="D8" s="26"/>
      <c r="E8" s="28"/>
      <c r="F8" s="26"/>
      <c r="G8" s="26"/>
      <c r="H8" s="26"/>
    </row>
    <row r="9" spans="1:8" ht="17" x14ac:dyDescent="0.2">
      <c r="A9" s="16">
        <v>8</v>
      </c>
      <c r="B9" s="19" t="s">
        <v>20</v>
      </c>
      <c r="C9" s="16">
        <v>403992</v>
      </c>
      <c r="D9" s="26">
        <f t="shared" si="0"/>
        <v>5</v>
      </c>
      <c r="E9" s="28">
        <f>[1]Feuil1!$U$9</f>
        <v>4.5</v>
      </c>
      <c r="F9" s="26">
        <v>5</v>
      </c>
      <c r="G9" s="26">
        <v>5.75</v>
      </c>
      <c r="H9" s="26">
        <v>6</v>
      </c>
    </row>
    <row r="10" spans="1:8" ht="17" x14ac:dyDescent="0.2">
      <c r="A10" s="16">
        <v>9</v>
      </c>
      <c r="B10" s="20" t="s">
        <v>21</v>
      </c>
      <c r="C10" s="16">
        <v>342263</v>
      </c>
      <c r="D10" s="26">
        <f t="shared" si="0"/>
        <v>5.5</v>
      </c>
      <c r="E10" s="28">
        <f>[1]Feuil1!$U$10</f>
        <v>5.75</v>
      </c>
      <c r="F10" s="26">
        <v>5.5</v>
      </c>
      <c r="G10" s="26">
        <v>5.75</v>
      </c>
      <c r="H10" s="26">
        <v>5.25</v>
      </c>
    </row>
    <row r="11" spans="1:8" ht="17" x14ac:dyDescent="0.2">
      <c r="A11" s="16">
        <v>10</v>
      </c>
      <c r="B11" s="20" t="s">
        <v>22</v>
      </c>
      <c r="C11" s="16">
        <v>341943</v>
      </c>
      <c r="D11" s="26">
        <f t="shared" si="0"/>
        <v>4.25</v>
      </c>
      <c r="E11" s="28">
        <f>[1]Feuil1!$U$11</f>
        <v>3</v>
      </c>
      <c r="F11" s="26">
        <v>5.5</v>
      </c>
      <c r="G11" s="26">
        <v>5.75</v>
      </c>
      <c r="H11" s="26">
        <v>5.25</v>
      </c>
    </row>
    <row r="12" spans="1:8" ht="17" x14ac:dyDescent="0.2">
      <c r="A12" s="16">
        <v>11</v>
      </c>
      <c r="B12" s="19" t="s">
        <v>23</v>
      </c>
      <c r="C12" s="16">
        <v>404031</v>
      </c>
      <c r="D12" s="26">
        <f t="shared" si="0"/>
        <v>5</v>
      </c>
      <c r="E12" s="28">
        <f>[1]Feuil1!$U$12</f>
        <v>4.25</v>
      </c>
      <c r="F12" s="26">
        <v>5</v>
      </c>
      <c r="G12" s="26">
        <v>5.75</v>
      </c>
      <c r="H12" s="26">
        <v>6</v>
      </c>
    </row>
    <row r="13" spans="1:8" ht="17" x14ac:dyDescent="0.2">
      <c r="A13" s="16">
        <v>12</v>
      </c>
      <c r="B13" s="19" t="s">
        <v>24</v>
      </c>
      <c r="C13" s="16">
        <v>345348</v>
      </c>
      <c r="D13" s="26">
        <f t="shared" si="0"/>
        <v>5</v>
      </c>
      <c r="E13" s="28">
        <f>[1]Feuil1!$U$13</f>
        <v>4.5</v>
      </c>
      <c r="F13" s="26">
        <v>5</v>
      </c>
      <c r="G13" s="26">
        <v>5.75</v>
      </c>
      <c r="H13" s="26">
        <v>6</v>
      </c>
    </row>
    <row r="14" spans="1:8" ht="17" x14ac:dyDescent="0.2">
      <c r="A14" s="16">
        <v>13</v>
      </c>
      <c r="B14" s="21" t="s">
        <v>25</v>
      </c>
      <c r="C14" s="16">
        <v>299891</v>
      </c>
      <c r="D14" s="26">
        <f t="shared" si="0"/>
        <v>4</v>
      </c>
      <c r="E14" s="28">
        <f>[1]Feuil1!$U$14</f>
        <v>2.5</v>
      </c>
      <c r="F14" s="27">
        <v>5.5</v>
      </c>
      <c r="G14" s="26">
        <v>5.75</v>
      </c>
      <c r="H14" s="26">
        <v>5.75</v>
      </c>
    </row>
    <row r="15" spans="1:8" ht="17" x14ac:dyDescent="0.2">
      <c r="A15" s="16">
        <v>14</v>
      </c>
      <c r="B15" s="21" t="s">
        <v>26</v>
      </c>
      <c r="C15" s="16">
        <v>315718</v>
      </c>
      <c r="D15" s="26">
        <f t="shared" si="0"/>
        <v>4.5</v>
      </c>
      <c r="E15" s="28">
        <f>[1]Feuil1!$U$15</f>
        <v>3.5</v>
      </c>
      <c r="F15" s="27">
        <v>5.5</v>
      </c>
      <c r="G15" s="26">
        <v>5.75</v>
      </c>
      <c r="H15" s="26">
        <v>5.75</v>
      </c>
    </row>
    <row r="16" spans="1:8" ht="17" x14ac:dyDescent="0.2">
      <c r="A16" s="16">
        <v>15</v>
      </c>
      <c r="B16" s="18" t="s">
        <v>27</v>
      </c>
      <c r="C16" s="16">
        <v>300139</v>
      </c>
      <c r="D16" s="26">
        <f t="shared" si="0"/>
        <v>5.25</v>
      </c>
      <c r="E16" s="28">
        <f>[1]Feuil1!$U$16</f>
        <v>4.75</v>
      </c>
      <c r="F16" s="26">
        <v>5.5</v>
      </c>
      <c r="G16" s="26">
        <v>5.75</v>
      </c>
      <c r="H16" s="26">
        <v>5.5</v>
      </c>
    </row>
    <row r="17" spans="1:8" ht="17" x14ac:dyDescent="0.2">
      <c r="A17" s="16">
        <v>16</v>
      </c>
      <c r="B17" s="21" t="s">
        <v>28</v>
      </c>
      <c r="C17" s="16">
        <v>346179</v>
      </c>
      <c r="D17" s="26">
        <f t="shared" si="0"/>
        <v>4.75</v>
      </c>
      <c r="E17" s="28">
        <f>[1]Feuil1!$U$17</f>
        <v>3.75</v>
      </c>
      <c r="F17" s="27">
        <v>5.5</v>
      </c>
      <c r="G17" s="26">
        <v>5.75</v>
      </c>
      <c r="H17" s="26">
        <v>5.75</v>
      </c>
    </row>
    <row r="19" spans="1:8" ht="17" x14ac:dyDescent="0.2">
      <c r="B19" s="29" t="s">
        <v>39</v>
      </c>
      <c r="D19" s="31">
        <f>AVERAGE(D2:D17)</f>
        <v>4.8392857142857144</v>
      </c>
    </row>
    <row r="20" spans="1:8" ht="17" x14ac:dyDescent="0.2">
      <c r="B20" s="29" t="s">
        <v>40</v>
      </c>
      <c r="D20" s="32">
        <f>MEDIAN(D2:D17)</f>
        <v>4.875</v>
      </c>
    </row>
    <row r="21" spans="1:8" x14ac:dyDescent="0.2">
      <c r="B21" s="30" t="s">
        <v>41</v>
      </c>
      <c r="D21" s="32">
        <f>STDEV(D2:D17)</f>
        <v>0.45580806159060966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865AE-9582-BF4F-9763-199F7D73A2D0}">
  <dimension ref="A1:F22"/>
  <sheetViews>
    <sheetView workbookViewId="0">
      <selection activeCell="C10" sqref="C10"/>
    </sheetView>
  </sheetViews>
  <sheetFormatPr baseColWidth="10" defaultColWidth="10.83203125" defaultRowHeight="24" x14ac:dyDescent="0.3"/>
  <cols>
    <col min="1" max="1" width="44.33203125" style="7" customWidth="1"/>
    <col min="2" max="2" width="13.6640625" style="8" customWidth="1"/>
    <col min="3" max="5" width="13.33203125" style="7" customWidth="1"/>
    <col min="6" max="6" width="13.33203125" style="8" customWidth="1"/>
    <col min="7" max="16384" width="10.83203125" style="7"/>
  </cols>
  <sheetData>
    <row r="1" spans="1:6" s="4" customFormat="1" x14ac:dyDescent="0.3">
      <c r="A1" s="1" t="s">
        <v>0</v>
      </c>
      <c r="B1" s="2" t="s">
        <v>4</v>
      </c>
      <c r="C1" s="3" t="s">
        <v>8</v>
      </c>
      <c r="D1" s="3" t="s">
        <v>9</v>
      </c>
      <c r="E1" s="1" t="s">
        <v>10</v>
      </c>
      <c r="F1" s="11" t="s">
        <v>11</v>
      </c>
    </row>
    <row r="2" spans="1:6" x14ac:dyDescent="0.3">
      <c r="A2" s="5" t="s">
        <v>1</v>
      </c>
      <c r="B2" s="12">
        <v>0.15</v>
      </c>
      <c r="C2" s="13">
        <v>4.5</v>
      </c>
      <c r="D2" s="13">
        <v>6</v>
      </c>
      <c r="E2" s="13">
        <v>6</v>
      </c>
      <c r="F2" s="12">
        <v>6</v>
      </c>
    </row>
    <row r="3" spans="1:6" x14ac:dyDescent="0.3">
      <c r="A3" s="5" t="s">
        <v>2</v>
      </c>
      <c r="B3" s="12">
        <v>0.15</v>
      </c>
      <c r="C3" s="13">
        <v>5.25</v>
      </c>
      <c r="D3" s="13">
        <v>6</v>
      </c>
      <c r="E3" s="13">
        <v>5.5</v>
      </c>
      <c r="F3" s="12">
        <v>5.5</v>
      </c>
    </row>
    <row r="4" spans="1:6" x14ac:dyDescent="0.3">
      <c r="A4" s="5" t="s">
        <v>3</v>
      </c>
      <c r="B4" s="12">
        <v>0.2</v>
      </c>
      <c r="C4" s="12">
        <v>6</v>
      </c>
      <c r="D4" s="13">
        <v>6</v>
      </c>
      <c r="E4" s="13">
        <v>4.5</v>
      </c>
      <c r="F4" s="12">
        <v>5.75</v>
      </c>
    </row>
    <row r="5" spans="1:6" x14ac:dyDescent="0.3">
      <c r="A5" s="5" t="s">
        <v>5</v>
      </c>
      <c r="B5" s="12">
        <v>0.2</v>
      </c>
      <c r="C5" s="13">
        <v>5.25</v>
      </c>
      <c r="D5" s="13">
        <v>5.75</v>
      </c>
      <c r="E5" s="13">
        <v>5</v>
      </c>
      <c r="F5" s="12">
        <v>5</v>
      </c>
    </row>
    <row r="6" spans="1:6" x14ac:dyDescent="0.3">
      <c r="A6" s="5" t="s">
        <v>6</v>
      </c>
      <c r="B6" s="12">
        <v>0.2</v>
      </c>
      <c r="C6" s="13">
        <v>5.5</v>
      </c>
      <c r="D6" s="13">
        <v>6</v>
      </c>
      <c r="E6" s="12">
        <v>5.75</v>
      </c>
      <c r="F6" s="12">
        <v>6</v>
      </c>
    </row>
    <row r="7" spans="1:6" x14ac:dyDescent="0.3">
      <c r="A7" s="5" t="s">
        <v>7</v>
      </c>
      <c r="B7" s="12">
        <v>0.1</v>
      </c>
      <c r="C7" s="13">
        <v>5.75</v>
      </c>
      <c r="D7" s="13">
        <v>6</v>
      </c>
      <c r="E7" s="13">
        <v>5</v>
      </c>
      <c r="F7" s="12">
        <v>5.75</v>
      </c>
    </row>
    <row r="8" spans="1:6" ht="25" thickBot="1" x14ac:dyDescent="0.35">
      <c r="A8" s="6"/>
      <c r="B8" s="12"/>
      <c r="C8" s="13"/>
      <c r="D8" s="13"/>
      <c r="E8" s="13"/>
      <c r="F8" s="12"/>
    </row>
    <row r="9" spans="1:6" s="9" customFormat="1" ht="25" thickBot="1" x14ac:dyDescent="0.35">
      <c r="A9" s="10" t="s">
        <v>12</v>
      </c>
      <c r="B9" s="14"/>
      <c r="C9" s="15">
        <f>$B$2*C2+$B$3*C3+$B$4*C4+$B$5*C5+$B$6*C6+$B$7*C7</f>
        <v>5.3875000000000002</v>
      </c>
      <c r="D9" s="15">
        <f t="shared" ref="D9:F9" si="0">$B$2*D2+$B$3*D3+$B$4*D4+$B$5*D5+$B$6*D6+$B$7*D7</f>
        <v>5.9500000000000011</v>
      </c>
      <c r="E9" s="15">
        <f t="shared" si="0"/>
        <v>5.2750000000000004</v>
      </c>
      <c r="F9" s="14">
        <f t="shared" si="0"/>
        <v>5.65</v>
      </c>
    </row>
    <row r="10" spans="1:6" s="9" customFormat="1" ht="25" thickBot="1" x14ac:dyDescent="0.35">
      <c r="A10" s="10" t="s">
        <v>34</v>
      </c>
      <c r="B10" s="14"/>
      <c r="C10" s="15">
        <f>MROUND(C9,0.25)</f>
        <v>5.5</v>
      </c>
      <c r="D10" s="15">
        <f t="shared" ref="D10:F10" si="1">MROUND(D9,0.25)</f>
        <v>6</v>
      </c>
      <c r="E10" s="15">
        <f t="shared" si="1"/>
        <v>5.25</v>
      </c>
      <c r="F10" s="15">
        <f t="shared" si="1"/>
        <v>5.75</v>
      </c>
    </row>
    <row r="11" spans="1:6" ht="36" x14ac:dyDescent="0.3">
      <c r="A11" s="7" t="s">
        <v>32</v>
      </c>
      <c r="C11" s="22" t="s">
        <v>13</v>
      </c>
      <c r="D11" s="23" t="s">
        <v>15</v>
      </c>
      <c r="E11" s="24" t="s">
        <v>22</v>
      </c>
      <c r="F11" s="25" t="s">
        <v>25</v>
      </c>
    </row>
    <row r="12" spans="1:6" ht="36" x14ac:dyDescent="0.3">
      <c r="C12" s="18" t="s">
        <v>27</v>
      </c>
      <c r="D12" s="19" t="s">
        <v>16</v>
      </c>
      <c r="E12" s="20" t="s">
        <v>21</v>
      </c>
      <c r="F12" s="21" t="s">
        <v>17</v>
      </c>
    </row>
    <row r="13" spans="1:6" ht="36" x14ac:dyDescent="0.3">
      <c r="C13" s="18" t="s">
        <v>18</v>
      </c>
      <c r="D13" s="19" t="s">
        <v>20</v>
      </c>
      <c r="F13" s="21" t="s">
        <v>26</v>
      </c>
    </row>
    <row r="14" spans="1:6" ht="53" x14ac:dyDescent="0.3">
      <c r="D14" s="19" t="s">
        <v>23</v>
      </c>
      <c r="F14" s="21" t="s">
        <v>28</v>
      </c>
    </row>
    <row r="15" spans="1:6" ht="36" x14ac:dyDescent="0.3">
      <c r="D15" s="19" t="s">
        <v>24</v>
      </c>
    </row>
    <row r="17" spans="1:1" x14ac:dyDescent="0.3">
      <c r="A17" s="5"/>
    </row>
    <row r="18" spans="1:1" x14ac:dyDescent="0.3">
      <c r="A18" s="5"/>
    </row>
    <row r="19" spans="1:1" x14ac:dyDescent="0.3">
      <c r="A19" s="5"/>
    </row>
    <row r="20" spans="1:1" x14ac:dyDescent="0.3">
      <c r="A20" s="5"/>
    </row>
    <row r="21" spans="1:1" x14ac:dyDescent="0.3">
      <c r="A21" s="5"/>
    </row>
    <row r="22" spans="1:1" x14ac:dyDescent="0.3">
      <c r="A2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B4BE3-EB13-6542-A4FE-A6904517CF41}">
  <dimension ref="A1:F22"/>
  <sheetViews>
    <sheetView workbookViewId="0">
      <selection activeCell="D12" sqref="D12"/>
    </sheetView>
  </sheetViews>
  <sheetFormatPr baseColWidth="10" defaultColWidth="10.83203125" defaultRowHeight="24" x14ac:dyDescent="0.3"/>
  <cols>
    <col min="1" max="1" width="44.33203125" style="7" customWidth="1"/>
    <col min="2" max="2" width="13.6640625" style="8" customWidth="1"/>
    <col min="3" max="5" width="13.33203125" style="7" customWidth="1"/>
    <col min="6" max="6" width="13.33203125" style="8" customWidth="1"/>
    <col min="7" max="16384" width="10.83203125" style="7"/>
  </cols>
  <sheetData>
    <row r="1" spans="1:6" s="4" customFormat="1" x14ac:dyDescent="0.3">
      <c r="A1" s="1" t="s">
        <v>0</v>
      </c>
      <c r="B1" s="2" t="s">
        <v>4</v>
      </c>
      <c r="C1" s="3" t="s">
        <v>8</v>
      </c>
      <c r="D1" s="3" t="s">
        <v>9</v>
      </c>
      <c r="E1" s="1" t="s">
        <v>10</v>
      </c>
      <c r="F1" s="11" t="s">
        <v>11</v>
      </c>
    </row>
    <row r="2" spans="1:6" x14ac:dyDescent="0.3">
      <c r="A2" s="5" t="s">
        <v>1</v>
      </c>
      <c r="B2" s="12">
        <v>0.15</v>
      </c>
      <c r="C2" s="13">
        <v>6</v>
      </c>
      <c r="D2" s="13">
        <v>6</v>
      </c>
      <c r="E2" s="13">
        <v>6</v>
      </c>
      <c r="F2" s="12">
        <v>6</v>
      </c>
    </row>
    <row r="3" spans="1:6" x14ac:dyDescent="0.3">
      <c r="A3" s="5" t="s">
        <v>2</v>
      </c>
      <c r="B3" s="12">
        <v>0.15</v>
      </c>
      <c r="C3" s="13">
        <v>5</v>
      </c>
      <c r="D3" s="13">
        <v>6</v>
      </c>
      <c r="E3" s="13">
        <v>6</v>
      </c>
      <c r="F3" s="12">
        <v>5</v>
      </c>
    </row>
    <row r="4" spans="1:6" x14ac:dyDescent="0.3">
      <c r="A4" s="5" t="s">
        <v>3</v>
      </c>
      <c r="B4" s="12">
        <v>0.2</v>
      </c>
      <c r="C4" s="12">
        <v>5.5</v>
      </c>
      <c r="D4" s="13">
        <v>6</v>
      </c>
      <c r="E4" s="13">
        <v>6</v>
      </c>
      <c r="F4" s="12">
        <v>6</v>
      </c>
    </row>
    <row r="5" spans="1:6" x14ac:dyDescent="0.3">
      <c r="A5" s="5" t="s">
        <v>5</v>
      </c>
      <c r="B5" s="12">
        <v>0.2</v>
      </c>
      <c r="C5" s="13">
        <v>5.5</v>
      </c>
      <c r="D5" s="13">
        <v>5.75</v>
      </c>
      <c r="E5" s="13">
        <v>5.75</v>
      </c>
      <c r="F5" s="12">
        <v>5.5</v>
      </c>
    </row>
    <row r="6" spans="1:6" x14ac:dyDescent="0.3">
      <c r="A6" s="5" t="s">
        <v>6</v>
      </c>
      <c r="B6" s="12">
        <v>0.2</v>
      </c>
      <c r="C6" s="13">
        <v>6</v>
      </c>
      <c r="D6" s="13">
        <v>5.5</v>
      </c>
      <c r="E6" s="12">
        <v>5.25</v>
      </c>
      <c r="F6" s="12">
        <v>5.75</v>
      </c>
    </row>
    <row r="7" spans="1:6" x14ac:dyDescent="0.3">
      <c r="A7" s="5" t="s">
        <v>7</v>
      </c>
      <c r="B7" s="12">
        <v>0.1</v>
      </c>
      <c r="C7" s="13">
        <v>6</v>
      </c>
      <c r="D7" s="13">
        <v>5.5</v>
      </c>
      <c r="E7" s="13">
        <v>6</v>
      </c>
      <c r="F7" s="12">
        <v>6</v>
      </c>
    </row>
    <row r="8" spans="1:6" ht="25" thickBot="1" x14ac:dyDescent="0.35">
      <c r="A8" s="6"/>
      <c r="B8" s="12"/>
      <c r="C8" s="13"/>
      <c r="D8" s="13"/>
      <c r="E8" s="13"/>
      <c r="F8" s="12"/>
    </row>
    <row r="9" spans="1:6" s="9" customFormat="1" ht="25" thickBot="1" x14ac:dyDescent="0.35">
      <c r="A9" s="10" t="s">
        <v>12</v>
      </c>
      <c r="B9" s="14"/>
      <c r="C9" s="15">
        <f>$B$2*C2+$B$3*C3+$B$4*C4+$B$5*C5+$B$6*C6+$B$7*C7</f>
        <v>5.65</v>
      </c>
      <c r="D9" s="15">
        <f t="shared" ref="D9:F9" si="0">$B$2*D2+$B$3*D3+$B$4*D4+$B$5*D5+$B$6*D6+$B$7*D7</f>
        <v>5.8</v>
      </c>
      <c r="E9" s="15">
        <f t="shared" si="0"/>
        <v>5.8000000000000007</v>
      </c>
      <c r="F9" s="14">
        <f t="shared" si="0"/>
        <v>5.7000000000000011</v>
      </c>
    </row>
    <row r="10" spans="1:6" s="9" customFormat="1" ht="25" thickBot="1" x14ac:dyDescent="0.35">
      <c r="A10" s="10" t="s">
        <v>34</v>
      </c>
      <c r="B10" s="14"/>
      <c r="C10" s="15">
        <f>MROUND(C9,0.25)</f>
        <v>5.75</v>
      </c>
      <c r="D10" s="15">
        <f t="shared" ref="D10:F10" si="1">MROUND(D9,0.25)</f>
        <v>5.75</v>
      </c>
      <c r="E10" s="15">
        <f t="shared" si="1"/>
        <v>5.75</v>
      </c>
      <c r="F10" s="15">
        <f t="shared" si="1"/>
        <v>5.75</v>
      </c>
    </row>
    <row r="11" spans="1:6" ht="36" x14ac:dyDescent="0.3">
      <c r="A11" s="7" t="s">
        <v>32</v>
      </c>
      <c r="C11" s="22" t="s">
        <v>13</v>
      </c>
      <c r="D11" s="23" t="s">
        <v>15</v>
      </c>
      <c r="E11" s="24" t="s">
        <v>22</v>
      </c>
      <c r="F11" s="25" t="s">
        <v>25</v>
      </c>
    </row>
    <row r="12" spans="1:6" ht="36" x14ac:dyDescent="0.3">
      <c r="C12" s="18" t="s">
        <v>27</v>
      </c>
      <c r="D12" s="19" t="s">
        <v>16</v>
      </c>
      <c r="E12" s="20" t="s">
        <v>21</v>
      </c>
      <c r="F12" s="21" t="s">
        <v>17</v>
      </c>
    </row>
    <row r="13" spans="1:6" ht="36" x14ac:dyDescent="0.3">
      <c r="C13" s="18" t="s">
        <v>18</v>
      </c>
      <c r="D13" s="19" t="s">
        <v>20</v>
      </c>
      <c r="F13" s="21" t="s">
        <v>26</v>
      </c>
    </row>
    <row r="14" spans="1:6" ht="53" x14ac:dyDescent="0.3">
      <c r="D14" s="19" t="s">
        <v>23</v>
      </c>
      <c r="F14" s="21" t="s">
        <v>28</v>
      </c>
    </row>
    <row r="15" spans="1:6" ht="36" x14ac:dyDescent="0.3">
      <c r="D15" s="19" t="s">
        <v>24</v>
      </c>
    </row>
    <row r="17" spans="1:1" x14ac:dyDescent="0.3">
      <c r="A17" s="5"/>
    </row>
    <row r="18" spans="1:1" x14ac:dyDescent="0.3">
      <c r="A18" s="5"/>
    </row>
    <row r="19" spans="1:1" x14ac:dyDescent="0.3">
      <c r="A19" s="5"/>
    </row>
    <row r="20" spans="1:1" x14ac:dyDescent="0.3">
      <c r="A20" s="5"/>
    </row>
    <row r="21" spans="1:1" x14ac:dyDescent="0.3">
      <c r="A21" s="5"/>
    </row>
    <row r="22" spans="1:1" x14ac:dyDescent="0.3">
      <c r="A2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C1D97-D5EF-EC48-9FD7-6D0890988F73}">
  <dimension ref="A1:F22"/>
  <sheetViews>
    <sheetView workbookViewId="0">
      <selection activeCell="M20" sqref="M20"/>
    </sheetView>
  </sheetViews>
  <sheetFormatPr baseColWidth="10" defaultColWidth="10.83203125" defaultRowHeight="24" x14ac:dyDescent="0.3"/>
  <cols>
    <col min="1" max="1" width="44.33203125" style="7" customWidth="1"/>
    <col min="2" max="2" width="13.6640625" style="8" customWidth="1"/>
    <col min="3" max="5" width="13.33203125" style="7" customWidth="1"/>
    <col min="6" max="6" width="13.33203125" style="8" customWidth="1"/>
    <col min="7" max="16384" width="10.83203125" style="7"/>
  </cols>
  <sheetData>
    <row r="1" spans="1:6" s="4" customFormat="1" x14ac:dyDescent="0.3">
      <c r="A1" s="1" t="s">
        <v>0</v>
      </c>
      <c r="B1" s="2" t="s">
        <v>4</v>
      </c>
      <c r="C1" s="3" t="s">
        <v>8</v>
      </c>
      <c r="D1" s="3" t="s">
        <v>9</v>
      </c>
      <c r="E1" s="1" t="s">
        <v>10</v>
      </c>
      <c r="F1" s="11" t="s">
        <v>11</v>
      </c>
    </row>
    <row r="2" spans="1:6" x14ac:dyDescent="0.3">
      <c r="A2" s="5" t="s">
        <v>1</v>
      </c>
      <c r="B2" s="12">
        <v>0.15</v>
      </c>
      <c r="C2" s="13">
        <v>5</v>
      </c>
      <c r="D2" s="13">
        <v>5</v>
      </c>
      <c r="E2" s="13">
        <v>6</v>
      </c>
      <c r="F2" s="12">
        <v>6</v>
      </c>
    </row>
    <row r="3" spans="1:6" x14ac:dyDescent="0.3">
      <c r="A3" s="5" t="s">
        <v>2</v>
      </c>
      <c r="B3" s="12">
        <v>0.15</v>
      </c>
      <c r="C3" s="13">
        <v>6</v>
      </c>
      <c r="D3" s="13">
        <v>5.5</v>
      </c>
      <c r="E3" s="13">
        <v>6</v>
      </c>
      <c r="F3" s="12">
        <v>6</v>
      </c>
    </row>
    <row r="4" spans="1:6" x14ac:dyDescent="0.3">
      <c r="A4" s="5" t="s">
        <v>3</v>
      </c>
      <c r="B4" s="12">
        <v>0.2</v>
      </c>
      <c r="C4" s="12">
        <v>5.75</v>
      </c>
      <c r="D4" s="13">
        <v>4.5</v>
      </c>
      <c r="E4" s="13">
        <v>5</v>
      </c>
      <c r="F4" s="12">
        <v>5.5</v>
      </c>
    </row>
    <row r="5" spans="1:6" x14ac:dyDescent="0.3">
      <c r="A5" s="5" t="s">
        <v>5</v>
      </c>
      <c r="B5" s="12">
        <v>0.2</v>
      </c>
      <c r="C5" s="13">
        <v>5.5</v>
      </c>
      <c r="D5" s="13">
        <v>4</v>
      </c>
      <c r="E5" s="13">
        <v>5</v>
      </c>
      <c r="F5" s="12">
        <v>4.5</v>
      </c>
    </row>
    <row r="6" spans="1:6" x14ac:dyDescent="0.3">
      <c r="A6" s="5" t="s">
        <v>6</v>
      </c>
      <c r="B6" s="12">
        <v>0.2</v>
      </c>
      <c r="C6" s="13">
        <v>6</v>
      </c>
      <c r="D6" s="13">
        <v>6</v>
      </c>
      <c r="E6" s="12">
        <v>5.75</v>
      </c>
      <c r="F6" s="12">
        <v>5.75</v>
      </c>
    </row>
    <row r="7" spans="1:6" x14ac:dyDescent="0.3">
      <c r="A7" s="5" t="s">
        <v>7</v>
      </c>
      <c r="B7" s="12">
        <v>0.1</v>
      </c>
      <c r="C7" s="13">
        <v>5</v>
      </c>
      <c r="D7" s="13">
        <v>5</v>
      </c>
      <c r="E7" s="13">
        <v>6</v>
      </c>
      <c r="F7" s="12">
        <v>6</v>
      </c>
    </row>
    <row r="8" spans="1:6" ht="25" thickBot="1" x14ac:dyDescent="0.35">
      <c r="A8" s="6"/>
      <c r="B8" s="12"/>
      <c r="C8" s="13"/>
      <c r="D8" s="13"/>
      <c r="E8" s="13"/>
      <c r="F8" s="12"/>
    </row>
    <row r="9" spans="1:6" s="9" customFormat="1" ht="25" thickBot="1" x14ac:dyDescent="0.35">
      <c r="A9" s="10" t="s">
        <v>12</v>
      </c>
      <c r="B9" s="14"/>
      <c r="C9" s="15">
        <f>$B$2*C2+$B$3*C3+$B$4*C4+$B$5*C5+$B$6*C6+$B$7*C7</f>
        <v>5.6</v>
      </c>
      <c r="D9" s="15">
        <f t="shared" ref="D9:F9" si="0">$B$2*D2+$B$3*D3+$B$4*D4+$B$5*D5+$B$6*D6+$B$7*D7</f>
        <v>4.9750000000000005</v>
      </c>
      <c r="E9" s="15">
        <f t="shared" si="0"/>
        <v>5.5500000000000007</v>
      </c>
      <c r="F9" s="14">
        <f t="shared" si="0"/>
        <v>5.5500000000000007</v>
      </c>
    </row>
    <row r="10" spans="1:6" s="9" customFormat="1" ht="25" thickBot="1" x14ac:dyDescent="0.35">
      <c r="A10" s="10" t="s">
        <v>34</v>
      </c>
      <c r="B10" s="14"/>
      <c r="C10" s="15">
        <f>MROUND(C9,0.25)</f>
        <v>5.5</v>
      </c>
      <c r="D10" s="15">
        <f t="shared" ref="D10:F10" si="1">MROUND(D9,0.25)</f>
        <v>5</v>
      </c>
      <c r="E10" s="15">
        <f t="shared" si="1"/>
        <v>5.5</v>
      </c>
      <c r="F10" s="15">
        <f t="shared" si="1"/>
        <v>5.5</v>
      </c>
    </row>
    <row r="11" spans="1:6" ht="36" x14ac:dyDescent="0.3">
      <c r="A11" s="7" t="s">
        <v>32</v>
      </c>
      <c r="C11" s="22" t="s">
        <v>13</v>
      </c>
      <c r="D11" s="23" t="s">
        <v>33</v>
      </c>
      <c r="E11" s="24" t="s">
        <v>22</v>
      </c>
      <c r="F11" s="25" t="s">
        <v>25</v>
      </c>
    </row>
    <row r="12" spans="1:6" ht="36" x14ac:dyDescent="0.3">
      <c r="C12" s="18" t="s">
        <v>27</v>
      </c>
      <c r="D12" s="19" t="s">
        <v>16</v>
      </c>
      <c r="E12" s="20" t="s">
        <v>21</v>
      </c>
      <c r="F12" s="21" t="s">
        <v>17</v>
      </c>
    </row>
    <row r="13" spans="1:6" ht="36" x14ac:dyDescent="0.3">
      <c r="C13" s="18" t="s">
        <v>18</v>
      </c>
      <c r="D13" s="19" t="s">
        <v>20</v>
      </c>
      <c r="F13" s="21" t="s">
        <v>26</v>
      </c>
    </row>
    <row r="14" spans="1:6" ht="53" x14ac:dyDescent="0.3">
      <c r="D14" s="19" t="s">
        <v>23</v>
      </c>
      <c r="F14" s="21" t="s">
        <v>28</v>
      </c>
    </row>
    <row r="15" spans="1:6" ht="36" x14ac:dyDescent="0.3">
      <c r="D15" s="19" t="s">
        <v>24</v>
      </c>
    </row>
    <row r="17" spans="1:1" x14ac:dyDescent="0.3">
      <c r="A17" s="5"/>
    </row>
    <row r="18" spans="1:1" x14ac:dyDescent="0.3">
      <c r="A18" s="5"/>
    </row>
    <row r="19" spans="1:1" x14ac:dyDescent="0.3">
      <c r="A19" s="5"/>
    </row>
    <row r="20" spans="1:1" x14ac:dyDescent="0.3">
      <c r="A20" s="5"/>
    </row>
    <row r="21" spans="1:1" x14ac:dyDescent="0.3">
      <c r="A21" s="5"/>
    </row>
    <row r="22" spans="1:1" x14ac:dyDescent="0.3">
      <c r="A2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project3</vt:lpstr>
      <vt:lpstr>project2</vt:lpstr>
      <vt:lpstr>project1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Burzio</dc:creator>
  <cp:lastModifiedBy>Stefano Burzio</cp:lastModifiedBy>
  <dcterms:created xsi:type="dcterms:W3CDTF">2025-03-27T08:32:02Z</dcterms:created>
  <dcterms:modified xsi:type="dcterms:W3CDTF">2025-07-07T14:14:26Z</dcterms:modified>
</cp:coreProperties>
</file>